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아웃룩 전달파일\(((재보험금 리스트 발송)))\SOC 발송여부\발송예정 SOC\SOC발송준비건\"/>
    </mc:Choice>
  </mc:AlternateContent>
  <bookViews>
    <workbookView xWindow="735" yWindow="1080" windowWidth="35700" windowHeight="19890" tabRatio="847"/>
  </bookViews>
  <sheets>
    <sheet name="OS List" sheetId="1" r:id="rId1"/>
  </sheets>
  <definedNames>
    <definedName name="_xlnm._FilterDatabase" localSheetId="0" hidden="1">'OS List'!$B$12:$Y$90</definedName>
    <definedName name="_xlnm.Print_Titles" localSheetId="0">'OS List'!#REF!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90" i="1" l="1"/>
  <c r="X90" i="1"/>
  <c r="W90" i="1"/>
  <c r="U90" i="1"/>
  <c r="T90" i="1"/>
  <c r="S90" i="1"/>
  <c r="Y89" i="1"/>
  <c r="X89" i="1"/>
  <c r="W89" i="1"/>
  <c r="U89" i="1"/>
  <c r="T89" i="1"/>
  <c r="S89" i="1"/>
  <c r="Y88" i="1"/>
  <c r="X88" i="1"/>
  <c r="W88" i="1"/>
  <c r="U88" i="1"/>
  <c r="T88" i="1"/>
  <c r="S88" i="1"/>
  <c r="Y87" i="1"/>
  <c r="X87" i="1"/>
  <c r="W87" i="1"/>
  <c r="U87" i="1"/>
  <c r="T87" i="1"/>
  <c r="S87" i="1"/>
  <c r="Y86" i="1"/>
  <c r="X86" i="1"/>
  <c r="W86" i="1"/>
  <c r="U86" i="1"/>
  <c r="T86" i="1"/>
  <c r="S86" i="1"/>
  <c r="Y85" i="1"/>
  <c r="X85" i="1"/>
  <c r="W85" i="1"/>
  <c r="U85" i="1"/>
  <c r="T85" i="1"/>
  <c r="S85" i="1"/>
  <c r="Y84" i="1"/>
  <c r="X84" i="1"/>
  <c r="W84" i="1"/>
  <c r="U84" i="1"/>
  <c r="T84" i="1"/>
  <c r="S84" i="1"/>
</calcChain>
</file>

<file path=xl/sharedStrings.xml><?xml version="1.0" encoding="utf-8"?>
<sst xmlns="http://schemas.openxmlformats.org/spreadsheetml/2006/main" count="491" uniqueCount="216">
  <si>
    <r>
      <rPr>
        <sz val="11"/>
        <color rgb="FF000000"/>
        <rFont val="맑은 고딕"/>
        <family val="3"/>
        <charset val="129"/>
      </rPr>
      <t xml:space="preserve">계약자명
</t>
    </r>
    <r>
      <rPr>
        <sz val="11"/>
        <color rgb="FF000000"/>
        <rFont val="Arial"/>
        <family val="2"/>
      </rPr>
      <t>(Insured)</t>
    </r>
  </si>
  <si>
    <r>
      <rPr>
        <sz val="11"/>
        <color rgb="FF000000"/>
        <rFont val="맑은 고딕"/>
        <family val="3"/>
        <charset val="129"/>
      </rPr>
      <t xml:space="preserve">접수번호
</t>
    </r>
    <r>
      <rPr>
        <sz val="11"/>
        <color rgb="FF000000"/>
        <rFont val="Arial"/>
        <family val="2"/>
      </rPr>
      <t>(KB Ref)</t>
    </r>
  </si>
  <si>
    <r>
      <rPr>
        <sz val="11"/>
        <color rgb="FF000000"/>
        <rFont val="맑은 고딕"/>
        <family val="3"/>
        <charset val="129"/>
      </rPr>
      <t xml:space="preserve">보험종료일
</t>
    </r>
    <r>
      <rPr>
        <sz val="11"/>
        <color rgb="FF000000"/>
        <rFont val="Arial"/>
        <family val="2"/>
      </rPr>
      <t>(Expiry)</t>
    </r>
  </si>
  <si>
    <t>KB Insurance</t>
  </si>
  <si>
    <r>
      <rPr>
        <sz val="11"/>
        <color rgb="FF000000"/>
        <rFont val="맑은 고딕"/>
        <family val="3"/>
        <charset val="129"/>
      </rPr>
      <t xml:space="preserve">재해명
</t>
    </r>
    <r>
      <rPr>
        <sz val="11"/>
        <color rgb="FF000000"/>
        <rFont val="Arial"/>
        <family val="2"/>
      </rPr>
      <t>(Casualty)</t>
    </r>
  </si>
  <si>
    <r>
      <rPr>
        <sz val="11"/>
        <color rgb="FF000000"/>
        <rFont val="맑은 고딕"/>
        <family val="3"/>
        <charset val="129"/>
      </rPr>
      <t xml:space="preserve">추산일자
</t>
    </r>
    <r>
      <rPr>
        <sz val="11"/>
        <color rgb="FF000000"/>
        <rFont val="Arial"/>
        <family val="2"/>
      </rPr>
      <t>(OS Date)</t>
    </r>
  </si>
  <si>
    <r>
      <rPr>
        <sz val="11"/>
        <color rgb="FF000000"/>
        <rFont val="맑은 고딕"/>
        <family val="3"/>
        <charset val="129"/>
      </rPr>
      <t xml:space="preserve">배상청구일자
</t>
    </r>
    <r>
      <rPr>
        <sz val="11"/>
        <color rgb="FF000000"/>
        <rFont val="Arial"/>
        <family val="2"/>
      </rPr>
      <t>(DOC)</t>
    </r>
  </si>
  <si>
    <t>General Manager in charge of General Insurance Claim Department</t>
  </si>
  <si>
    <t>Sang-Jae Son / Authorized Representative</t>
  </si>
  <si>
    <t>EUR</t>
  </si>
  <si>
    <t>AUD</t>
  </si>
  <si>
    <t xml:space="preserve"> </t>
  </si>
  <si>
    <t>YEN</t>
  </si>
  <si>
    <t>STG</t>
  </si>
  <si>
    <t>WON</t>
  </si>
  <si>
    <t>CAD</t>
  </si>
  <si>
    <t>USD</t>
  </si>
  <si>
    <r>
      <rPr>
        <sz val="11"/>
        <color rgb="FF000000"/>
        <rFont val="맑은 고딕"/>
        <family val="3"/>
        <charset val="129"/>
      </rPr>
      <t xml:space="preserve">재보험금
</t>
    </r>
    <r>
      <rPr>
        <sz val="11"/>
        <color rgb="FF000000"/>
        <rFont val="Arial"/>
        <family val="2"/>
      </rPr>
      <t>(Ceded OS Loss_Indemnity)</t>
    </r>
  </si>
  <si>
    <r>
      <rPr>
        <sz val="11"/>
        <color rgb="FF000000"/>
        <rFont val="맑은 고딕"/>
        <family val="3"/>
        <charset val="129"/>
      </rPr>
      <t>재보험금</t>
    </r>
    <r>
      <rPr>
        <sz val="11"/>
        <color rgb="FF000000"/>
        <rFont val="Arial"/>
        <family val="2"/>
      </rPr>
      <t>_</t>
    </r>
    <r>
      <rPr>
        <sz val="11"/>
        <color rgb="FF000000"/>
        <rFont val="맑은 고딕"/>
        <family val="3"/>
        <charset val="129"/>
      </rPr>
      <t xml:space="preserve">기타
</t>
    </r>
    <r>
      <rPr>
        <sz val="11"/>
        <color rgb="FF000000"/>
        <rFont val="Arial"/>
        <family val="2"/>
      </rPr>
      <t>(Ceded OS Loss_Others)</t>
    </r>
  </si>
  <si>
    <t>Teheran-ro, Gangnam-gu, Seoul</t>
  </si>
  <si>
    <t>Dear Sirs,</t>
  </si>
  <si>
    <t>06134 Korea</t>
  </si>
  <si>
    <r>
      <rPr>
        <sz val="11"/>
        <color rgb="FF000000"/>
        <rFont val="맑은 고딕"/>
        <family val="3"/>
        <charset val="129"/>
      </rPr>
      <t xml:space="preserve">상품명
</t>
    </r>
    <r>
      <rPr>
        <sz val="11"/>
        <color rgb="FF000000"/>
        <rFont val="Arial"/>
        <family val="2"/>
      </rPr>
      <t>(LoB)</t>
    </r>
  </si>
  <si>
    <r>
      <rPr>
        <sz val="11"/>
        <color rgb="FF000000"/>
        <rFont val="맑은 고딕"/>
        <family val="3"/>
        <charset val="129"/>
      </rPr>
      <t xml:space="preserve">사고일자
</t>
    </r>
    <r>
      <rPr>
        <sz val="11"/>
        <color rgb="FF000000"/>
        <rFont val="Arial"/>
        <family val="2"/>
      </rPr>
      <t>(DOL)</t>
    </r>
  </si>
  <si>
    <r>
      <rPr>
        <sz val="11"/>
        <color rgb="FF000000"/>
        <rFont val="맑은 고딕"/>
        <family val="3"/>
        <charset val="129"/>
      </rPr>
      <t xml:space="preserve">보험개시일
</t>
    </r>
    <r>
      <rPr>
        <sz val="11"/>
        <color rgb="FF000000"/>
        <rFont val="Arial"/>
        <family val="2"/>
      </rPr>
      <t>(Inception)</t>
    </r>
  </si>
  <si>
    <r>
      <rPr>
        <sz val="11"/>
        <color rgb="FF000000"/>
        <rFont val="맑은 고딕"/>
        <family val="3"/>
        <charset val="129"/>
      </rPr>
      <t xml:space="preserve">추산차수
</t>
    </r>
    <r>
      <rPr>
        <sz val="11"/>
        <color rgb="FF000000"/>
        <rFont val="Arial"/>
        <family val="2"/>
      </rPr>
      <t>(OS Serial)</t>
    </r>
  </si>
  <si>
    <r>
      <rPr>
        <sz val="11"/>
        <color rgb="FF000000"/>
        <rFont val="맑은 고딕"/>
        <family val="3"/>
        <charset val="129"/>
      </rPr>
      <t>증권번호</t>
    </r>
    <r>
      <rPr>
        <sz val="11"/>
        <color rgb="FF000000"/>
        <rFont val="Arial"/>
        <family val="2"/>
      </rPr>
      <t xml:space="preserve"> 
(Policy No)</t>
    </r>
  </si>
  <si>
    <r>
      <rPr>
        <sz val="11"/>
        <color rgb="FF000000"/>
        <rFont val="돋움"/>
        <family val="3"/>
        <charset val="129"/>
      </rPr>
      <t xml:space="preserve">목적물번호
</t>
    </r>
    <r>
      <rPr>
        <sz val="11"/>
        <color rgb="FF000000"/>
        <rFont val="Arial"/>
        <family val="2"/>
      </rPr>
      <t>(Item Serial)</t>
    </r>
  </si>
  <si>
    <r>
      <rPr>
        <sz val="11"/>
        <color rgb="FF000000"/>
        <rFont val="맑은 고딕"/>
        <family val="3"/>
        <charset val="129"/>
      </rPr>
      <t xml:space="preserve">화폐
</t>
    </r>
    <r>
      <rPr>
        <sz val="11"/>
        <color rgb="FF000000"/>
        <rFont val="Arial"/>
        <family val="2"/>
      </rPr>
      <t>(Currency_Claim)</t>
    </r>
  </si>
  <si>
    <r>
      <rPr>
        <sz val="11"/>
        <color rgb="FF000000"/>
        <rFont val="맑은 고딕"/>
        <family val="3"/>
        <charset val="129"/>
      </rPr>
      <t xml:space="preserve">원보험금
</t>
    </r>
    <r>
      <rPr>
        <sz val="11"/>
        <color rgb="FF000000"/>
        <rFont val="Arial"/>
        <family val="2"/>
      </rPr>
      <t>(OS Loss_Indemnity)</t>
    </r>
  </si>
  <si>
    <r>
      <rPr>
        <sz val="11"/>
        <color rgb="FF000000"/>
        <rFont val="맑은 고딕"/>
        <family val="3"/>
        <charset val="129"/>
      </rPr>
      <t>원보험금</t>
    </r>
    <r>
      <rPr>
        <sz val="11"/>
        <color rgb="FF000000"/>
        <rFont val="Arial"/>
        <family val="2"/>
      </rPr>
      <t>_</t>
    </r>
    <r>
      <rPr>
        <sz val="11"/>
        <color rgb="FF000000"/>
        <rFont val="맑은 고딕"/>
        <family val="3"/>
        <charset val="129"/>
      </rPr>
      <t xml:space="preserve">기타
</t>
    </r>
    <r>
      <rPr>
        <sz val="11"/>
        <color rgb="FF000000"/>
        <rFont val="Arial"/>
        <family val="2"/>
      </rPr>
      <t>(OS Loss_Others)</t>
    </r>
  </si>
  <si>
    <r>
      <rPr>
        <sz val="11"/>
        <color rgb="FF000000"/>
        <rFont val="맑은 고딕"/>
        <family val="3"/>
        <charset val="129"/>
      </rPr>
      <t>출재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 xml:space="preserve">손해조사비
</t>
    </r>
    <r>
      <rPr>
        <sz val="11"/>
        <color rgb="FF000000"/>
        <rFont val="Arial"/>
        <family val="2"/>
      </rPr>
      <t>(Ceded OS Expense)</t>
    </r>
  </si>
  <si>
    <r>
      <rPr>
        <sz val="11"/>
        <color rgb="FF000000"/>
        <rFont val="맑은 고딕"/>
        <family val="3"/>
        <charset val="129"/>
      </rPr>
      <t xml:space="preserve">사고내용
</t>
    </r>
    <r>
      <rPr>
        <sz val="11"/>
        <color rgb="FF000000"/>
        <rFont val="Arial"/>
        <family val="2"/>
      </rPr>
      <t>(Loss Description)</t>
    </r>
  </si>
  <si>
    <r>
      <rPr>
        <sz val="11"/>
        <color rgb="FF000000"/>
        <rFont val="맑은 고딕"/>
        <family val="3"/>
        <charset val="129"/>
      </rPr>
      <t>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 xml:space="preserve">손해조사비
</t>
    </r>
    <r>
      <rPr>
        <sz val="11"/>
        <color rgb="FF000000"/>
        <rFont val="Arial"/>
        <family val="2"/>
      </rPr>
      <t>(OS Expense)</t>
    </r>
  </si>
  <si>
    <r>
      <rPr>
        <sz val="11"/>
        <color rgb="FF000000"/>
        <rFont val="맑은 고딕"/>
        <family val="3"/>
        <charset val="129"/>
      </rPr>
      <t>출재율</t>
    </r>
    <r>
      <rPr>
        <sz val="11"/>
        <color rgb="FF000000"/>
        <rFont val="Arial"/>
        <family val="2"/>
      </rPr>
      <t>(%)
Your Share(%)</t>
    </r>
  </si>
  <si>
    <r>
      <rPr>
        <sz val="11"/>
        <color rgb="FF000000"/>
        <rFont val="돋움"/>
        <family val="3"/>
        <charset val="129"/>
      </rPr>
      <t xml:space="preserve">출재단위번호
</t>
    </r>
    <r>
      <rPr>
        <sz val="11"/>
        <color rgb="FF000000"/>
        <rFont val="Arial"/>
        <family val="2"/>
      </rPr>
      <t>(Cession Serial)</t>
    </r>
  </si>
  <si>
    <r>
      <rPr>
        <sz val="11"/>
        <color rgb="FF000000"/>
        <rFont val="맑은 고딕"/>
        <family val="3"/>
        <charset val="129"/>
      </rPr>
      <t xml:space="preserve">화폐
</t>
    </r>
    <r>
      <rPr>
        <sz val="11"/>
        <color rgb="FF000000"/>
        <rFont val="Arial"/>
        <family val="2"/>
      </rPr>
      <t>(Currency_Expense)</t>
    </r>
  </si>
  <si>
    <r>
      <rPr>
        <sz val="11"/>
        <color rgb="FF000000"/>
        <rFont val="돋움"/>
        <family val="3"/>
        <charset val="129"/>
      </rPr>
      <t xml:space="preserve">담보코드
</t>
    </r>
    <r>
      <rPr>
        <sz val="11"/>
        <color rgb="FF000000"/>
        <rFont val="Arial"/>
        <family val="2"/>
      </rPr>
      <t>(Coverage Code)</t>
    </r>
  </si>
  <si>
    <t>KB Insurance Bldg., 117,</t>
  </si>
  <si>
    <t>Total</t>
  </si>
  <si>
    <t>To :</t>
  </si>
  <si>
    <t>Outstanding loss advice (Till FEBRUARY 2026)</t>
  </si>
  <si>
    <r>
      <t>인스보험중개</t>
    </r>
    <r>
      <rPr>
        <b/>
        <sz val="14"/>
        <color rgb="FF000000"/>
        <rFont val="Arial"/>
        <family val="2"/>
      </rPr>
      <t>, SEOUL, KOREA</t>
    </r>
  </si>
  <si>
    <r>
      <t>인스보험중개</t>
    </r>
    <r>
      <rPr>
        <sz val="11"/>
        <color rgb="FF000000"/>
        <rFont val="Arial"/>
        <family val="2"/>
      </rPr>
      <t>, SEOUL, KOREA</t>
    </r>
  </si>
  <si>
    <t>국문전문인배상책임보험</t>
  </si>
  <si>
    <t>의료법인목포구암의료재단목포중앙병원</t>
  </si>
  <si>
    <t>안과 백내장 수술 및 하루 입원후 염장성 감염있었어 응급실내원 및 왼쪽 눈 실명함 _ 의료사고 배상책임문의</t>
  </si>
  <si>
    <t>이*용</t>
  </si>
  <si>
    <t>GK4184</t>
  </si>
  <si>
    <t>의료법인대인의료재단</t>
  </si>
  <si>
    <t>★긴급/신입/수술하시다가 사고가남/사고날짜 확인필요</t>
  </si>
  <si>
    <t>이*석</t>
  </si>
  <si>
    <t>전북대학교병원</t>
  </si>
  <si>
    <t>수술 당시 의료진 실수로 골절 발생한 점 배상요구...._팩스 5장</t>
  </si>
  <si>
    <t>강*원</t>
  </si>
  <si>
    <t>(의)고려의료재단부산고려병원</t>
  </si>
  <si>
    <t>경추 제6_7번간 추간공 협착증에 대한 전신마취하 경추 제6_7번간 추간판절제술 및 골이식술,케이지를 이용한 전방유합술 시행 후 op site로 혈종 있으며 호흡곤란 있어 다시 수술실에서 hematoma remove 시행하던 중 저혈압 및 호흡곤란 보여 승압제 사용 및 인공호흡기 사용하여 해운대 백병원 응급전원 감....메일</t>
  </si>
  <si>
    <t>이태현</t>
  </si>
  <si>
    <t>의료법인 정화의료재단</t>
  </si>
  <si>
    <t>수술 후 상태악화에 따른 보상요구....메일</t>
  </si>
  <si>
    <t>정*선</t>
  </si>
  <si>
    <t>신경차단술을 경막외 농양이 발생하여 사지마비가 생겨 의료사고 후 현재 까지 환자를 간병하며 극심한 피해 입었음을 주장 ....#메일</t>
  </si>
  <si>
    <t>미상</t>
  </si>
  <si>
    <t>수술이후 시신경에 농양이 침범하여 일시적으로 예상되는 시력손실 발생........#메일</t>
  </si>
  <si>
    <t>김*순</t>
  </si>
  <si>
    <t>대동병원</t>
  </si>
  <si>
    <t>신장수술 의료분쟁/2o25가단48668....#메일</t>
  </si>
  <si>
    <t>Cho***</t>
  </si>
  <si>
    <t>엠허브의원</t>
  </si>
  <si>
    <t>좌측 이관고실의 중이염 발생으로 감염되어 합병증 사망..#o619_3....* 보상한도 :  총 2억  1사고당 1억  자기부담금 5oo만원..* 소급일자 :   2o24.9.11...* 손사위임안내문자발송  o1o52o65986   6.19.</t>
  </si>
  <si>
    <t>배*수</t>
  </si>
  <si>
    <t>우리허브병원</t>
  </si>
  <si>
    <t>우측 슬개골 골절로 내원후 수술 시행후 경과 관찰중 수술부위 열감,통증 발생..#팩스 1o14_3</t>
  </si>
  <si>
    <t>곽*대</t>
  </si>
  <si>
    <t>쌍커풀 수술 부작용..#팩스 12o4_4</t>
  </si>
  <si>
    <t>이*미</t>
  </si>
  <si>
    <t>자향한방병원</t>
  </si>
  <si>
    <t>입원 치료 중 디스크 터짐..안내7/23 위임7/29(화)..팩스 1</t>
  </si>
  <si>
    <t>한*주</t>
  </si>
  <si>
    <t>(의)상원의료재단부평힘찬병원</t>
  </si>
  <si>
    <t>요추간판탈출증 진단 받았으나 의료분쟁 관련하여 문의 ....17장</t>
  </si>
  <si>
    <t>이*선</t>
  </si>
  <si>
    <t>허리 신경차단술 후 춥고 한기가 든다 함....팩스 11장</t>
  </si>
  <si>
    <t>권영목</t>
  </si>
  <si>
    <t>심한 우측 협착증 요추3/4..물리치료 후 침상 거상중 갑작스런 의식 소실과 함께 심정지로 추정되는 증상 발생 ..해성 이남렬 부장....13장</t>
  </si>
  <si>
    <t>송*</t>
  </si>
  <si>
    <t>2o23.1o.24 환자가 병원에서 수술/ 이후에 신경감각 저하와 저림감 호소로 타 병원에서 재수술을 진행/발생된 의료비 확인 필요/보상및 필요서류 확인 요청....* 소급담보 : 동래힘찬  2o12.12.1...* 보상담보 : 총사고 1o억  1사고당 1억  자기부담금  1천..* 손사위임문자발송  6.17.</t>
  </si>
  <si>
    <t>환자분이 수술후 병실에 올라갔다..기흉이 발견되서 타병원으로 긴급갔다가  다시 오심..안내6/26 위임7/3 보고7/8</t>
  </si>
  <si>
    <t>황*열</t>
  </si>
  <si>
    <t>1/6, 김종현 차장에게 이관해야함....환자 시술진행이후 가피제거한 뒤 결핍부분이 봉합으로 커버되지않아 노출된 힘줄로 인해 타병원다님, 의료사고 주장......안내8/26 위임예정 9/1....#o826_9</t>
  </si>
  <si>
    <t>안*숙</t>
  </si>
  <si>
    <t>수술 후 5개월 째 경과 후 수술부위 감각이상을 호소..안내9/3o 위임1o/1 해성 이남렬 부장..팩스 4</t>
  </si>
  <si>
    <t>윤희중</t>
  </si>
  <si>
    <t>2o25.o2.o5 좌측 슬관절 외반슬 및 골관절염 소견으로 인공관절 전치환술 후 수술부 상태 악화됨..안내11/4..#팩스 11o3_8</t>
  </si>
  <si>
    <t>최*호</t>
  </si>
  <si>
    <t>안내11/14 보고11/19 이남렬 부장..좌측 슬관절 골관절염에 대한 근위경골 절골술 시행, 좌측 슬관절 내측 반월상연골관 파열에 대한 관절내시경하 내측 파열연골판 부분 절제술 시행 후 Lt foot plantar area numbness+증상 보임....팩스 8</t>
  </si>
  <si>
    <t>권용민</t>
  </si>
  <si>
    <t>(재)대구포교성베네딕도수녀회 창원파티마병원</t>
  </si>
  <si>
    <t>담낭절제술 중 간담도 손상 발견되어 담도_공장 문합술 시행...담즙 누출 양상보임....메일</t>
  </si>
  <si>
    <t>김태원</t>
  </si>
  <si>
    <t>섹션 시행후 세미코마 및 사지 청색증....#메일</t>
  </si>
  <si>
    <t>고*자</t>
  </si>
  <si>
    <t>계단에서 넘어져 발생한 요총으로 응급 의료센터 내원....#메일</t>
  </si>
  <si>
    <t>이강순</t>
  </si>
  <si>
    <t>초진시 촬영 한 흉부 CT상 폐암을 의심할 만한 병변 없어 동반 질환 진료 권유........#메일</t>
  </si>
  <si>
    <t>임*현</t>
  </si>
  <si>
    <t>뇌동맥 시술 중 의료진 과실로 뇌출혈 발생으로 손해배상 청구....메일</t>
  </si>
  <si>
    <t>정경숙</t>
  </si>
  <si>
    <t>(의)서명의료재단</t>
  </si>
  <si>
    <t>요추후방추체간융합술 받은 후 3o분 정도 지나 환자 상태가 갑자기 안 좋아져서 사망......#메일</t>
  </si>
  <si>
    <t>삼천포제일병원</t>
  </si>
  <si>
    <t>투석 하기 전 혈관이 막혀 열감 및 발적 증상으로 좌측 팔 PTA 시술부위 혈전 제거술 실시......#메일</t>
  </si>
  <si>
    <t>이*상</t>
  </si>
  <si>
    <t>기관절개 튜브 교체 시술 도중 저산소성 뇌손상을 입어 사지바미,비속성 혼수상태 빠짐....팩스 35</t>
  </si>
  <si>
    <t>최*원</t>
  </si>
  <si>
    <t>우측 발목부위의 괴사조직제거술 및 국소 피판을 이용한 결손부 피복술 시행 및 short leg splint로 교체하였고, foot drop 및 감각저하로 재활의학과 협진 의뢰......#메일</t>
  </si>
  <si>
    <t>오*록</t>
  </si>
  <si>
    <t>세계로병원</t>
  </si>
  <si>
    <t>좌측 슬관절 인공?절 전치환술 이후 통증 지속....메일</t>
  </si>
  <si>
    <t>이*식</t>
  </si>
  <si>
    <t>무릎통증으로 인공관절 치환술 진행/의료분쟁사고....#메일</t>
  </si>
  <si>
    <t>서*화</t>
  </si>
  <si>
    <t>앉아있다가 일어날 때 엉덩이 아픔....#메일</t>
  </si>
  <si>
    <t>김*숙</t>
  </si>
  <si>
    <t>후방감압술 요추 제5번 천추간 우측 수술 후 오른쪽 무릎 불편감......#메일</t>
  </si>
  <si>
    <t>고*현</t>
  </si>
  <si>
    <t>광주병원</t>
  </si>
  <si>
    <t>사고내용: 환자치료하다 중수치골절 치료중 잘못되어 탈구되어 민원제기</t>
  </si>
  <si>
    <t>김*현</t>
  </si>
  <si>
    <t>상기환자 양측 슬관절 통증으로 2o24.11.o6. 내원하여 진료 후 양측 슬관절 인공관절 수술이 필요하다는 소견으로 2o24.11.28. 우측 슬관절 인공관절 전치환술 시행 후 2o24.12.o2 오심, 속갑갑한 증상 호소하여 내과(Dr.이상욱) 협진 후 경구 위장약 처방하고 경과 관찰함. 이후 2o24.12.o9 CRP 31.1로 내과 재협진하여 CVP remove &amp; tip culture 처방하고 환자 지속적인 속불편감으로 경구 위장약 처방하였으나, 12/1o CRP 35.1 로 상승하여 항생제 주사(타박탐) 투여하였으나 지속적인 속불편감 nausea &amp; vomiting 2차례 하고 휠체어</t>
  </si>
  <si>
    <t>진*순</t>
  </si>
  <si>
    <t>좌측 슬관절 근위 경골절골술 및 관절내시경하 활액막절제술 시행 후 4일째 좌측 ankle D/F제한, Calf swelling,압통 등의 증상....메일</t>
  </si>
  <si>
    <t>안*근</t>
  </si>
  <si>
    <t>상지마비로 수술하였으나 하지마비 소견보임. 소송/의료분쟁....#메일</t>
  </si>
  <si>
    <t>최*덕</t>
  </si>
  <si>
    <t>피해자는 직장동료로부터 폭행을 당한 자로 폭행을 당한 이후부터 요추 부위 통증으로 부산고려병원에서 1차 수술 후 요추 3번 부위의 질병으로 인한 통증이라고 진단을 내려 폭행당한 사고에 대한 소송에서 피해자가 생각한 손해배상보다 적은 금액으로 손해배상 받았음에 대하여 소송 제기함....메일</t>
  </si>
  <si>
    <t>이*우</t>
  </si>
  <si>
    <t>성남시의료원</t>
  </si>
  <si>
    <t>천공 확인으로 회장결장절제술 시행 이후 퇴원하였는데 환자측 의료과실 주장....#메일</t>
  </si>
  <si>
    <t>조황종</t>
  </si>
  <si>
    <t>참튼튼병원</t>
  </si>
  <si>
    <t>상기 환자 타 병원에서 MBO 시행하였던 과거력 있으신 분으로 OA 진행되어 본원에서 2o24년 o5월 17일 인공족관절 전치환술 시행함. 수술 9개월 경과 후 lat. Space widening 진행되는 양상 보여 일산명지병원으로 외료 진료봄 이후 건국대병원에서 2o25년 o6월경 재수술 시행함.....#메일</t>
  </si>
  <si>
    <t>고명규</t>
  </si>
  <si>
    <t>거인병원</t>
  </si>
  <si>
    <t>우측 견관절 관절경하 관련 시술 후 다른 병원으로 전원....메일</t>
  </si>
  <si>
    <t>강*숙</t>
  </si>
  <si>
    <t>빌리브세웅병원</t>
  </si>
  <si>
    <t>추간판탈출증 수술 후 증상 새롭게 발병....#메일</t>
  </si>
  <si>
    <t>백*석</t>
  </si>
  <si>
    <t>손목터널유리술 받고 퇴원 후 손끝저림, 통증, 컬러변형 있어져 치료비 보상....메일</t>
  </si>
  <si>
    <t>최명희</t>
  </si>
  <si>
    <t>부산큰병원</t>
  </si>
  <si>
    <t>2o25.2.6 C4/5/6/7 decomp 수술...술후 좌측 상하지 근력 저하되어 지속적인 보존적치료 시행........#메일</t>
  </si>
  <si>
    <t>하지근력저하, 보행장해등으로 내원 이후 척추전방 전위증, 협착증으로 진단 유합술 시행하였고 수술후 진행하는 하지근력저하....#메일</t>
  </si>
  <si>
    <t>송*순</t>
  </si>
  <si>
    <t>의료법인현경의료재단</t>
  </si>
  <si>
    <t>내과에서 환자 천공 수술시 의료사고 발생됨</t>
  </si>
  <si>
    <t>생생병원</t>
  </si>
  <si>
    <t>수술 이후 우측하지 근력저하, 신경인성 방광 및 장기능 저하 지속, 수술 직후부터 현재까지 자가배뇨 불가능 증상....#o114_3</t>
  </si>
  <si>
    <t>박*희</t>
  </si>
  <si>
    <t>2o25년 o7월 11일 오후 2o:11분 흉통 및 요통, 다리의 통증으로 응급실 내원 후 혈액검사,심전도,영상검사, brain ct, lumber ct 후 흉통관련검사 상 특이소견이 없어 척추관련 질환으로 진단 후 입원 함 입원 후 다음날 상세불명의 심정지로 사망......#메일</t>
  </si>
  <si>
    <t>빛고을생생병원</t>
  </si>
  <si>
    <t>★빠른 통화 요청/사고일시 : 25..o9.o1..사고내용 : 병원에 입원환자 치료 잘못되어 이의제기함..사고경위서 갖고 있다함/빠..</t>
  </si>
  <si>
    <t>좌측 무릎 관절경 수술 이후 좌측 엉덩이 외측_허벅지 통증 및 감각 이상 호소....팩스 12</t>
  </si>
  <si>
    <t>김주환</t>
  </si>
  <si>
    <t>좌측 대퇴 전자간부 골절 진단으로 대퇴 근위부 골수강내 고정술 시행 후 femoral perforation 확인....#o1o8_8</t>
  </si>
  <si>
    <t>황*임</t>
  </si>
  <si>
    <t>우측 손목 결절종 적출술 이후 우측 천측 요골 감각 신경 분지 손상 소견받음....#o122_3</t>
  </si>
  <si>
    <t>김*우</t>
  </si>
  <si>
    <t>골절로 인해 응급실 통해입원 이후 12/22 수술후 12/28 이상증세로 사망....#메일</t>
  </si>
  <si>
    <t>차*애</t>
  </si>
  <si>
    <t>생산물배상책임보험(I)(손해사고기준)</t>
  </si>
  <si>
    <t>주식회사 린나이이엔씨 외 159점</t>
  </si>
  <si>
    <t>-</t>
  </si>
  <si>
    <t>당일 오전 가스온수기 누수사고</t>
  </si>
  <si>
    <t>누수</t>
  </si>
  <si>
    <t>GK0062</t>
  </si>
  <si>
    <t>(주)동성열기 외 156점</t>
  </si>
  <si>
    <t>아래층 누수 ....연락:인입번호</t>
  </si>
  <si>
    <t>보일러 분배기 누수로 인해 피해 발생</t>
  </si>
  <si>
    <t>누수(3o3호)</t>
  </si>
  <si>
    <t>보일러에서 누수 발생</t>
  </si>
  <si>
    <t>7o3호에서 보일러 누수 사고로 6o3호 피해 발생</t>
  </si>
  <si>
    <t>사고일시:12/27..사고내용: 온수기 낙하 사고</t>
  </si>
  <si>
    <t>식기세척기</t>
  </si>
  <si>
    <t>1월15일 가스 온수기 누수 사고</t>
  </si>
  <si>
    <t>2월18일   전기 온수기  낙하사고/  세면대, 타일, 전기선 피해입음/  보상문의</t>
  </si>
  <si>
    <t>세면대, 타일</t>
  </si>
  <si>
    <t>영문전문인배상책임보험</t>
  </si>
  <si>
    <t>주식회사 노랑풍선</t>
  </si>
  <si>
    <t>여행사 고객분 인도로 여행가서 현지차량 급정거로 인해 다침....보상상담 요청 하십니다</t>
  </si>
  <si>
    <t>GLC046</t>
  </si>
  <si>
    <t>사고내용 : 필리핀 현지에서 가이드가 준 컵라면을 먹다가 쥐사체가 나옴 / 정신적 위자료및 보상문의</t>
  </si>
  <si>
    <t>김성식</t>
  </si>
  <si>
    <t>이혜진</t>
  </si>
  <si>
    <t>(주) 온라인투어</t>
  </si>
  <si>
    <t>스페인에서 마차투어가 있어서 손님이 4명을 탔음. 마부가 마차를..타려고 하는데 말이 날뛰어 마차가 뒤집어짐. 두명은 경상 두명은..뼈에 금이 가서 여행 못하고 당일 귀국함.</t>
  </si>
  <si>
    <t>한*경</t>
  </si>
  <si>
    <t>영문임원배상책임보험</t>
  </si>
  <si>
    <t>주식회사 LF</t>
  </si>
  <si>
    <t>트라이씨클은 "보리보리mall"이라는 쇼핑몰 이름으로 네이버 쇼핑에 판매자로 입점 상품 판매. .. 상품배송과 관련 개인정보보호법상 제3자 제공 규정 위반으로 대표이사 피고소 (형사)....기존 사고번호 2o2512o5o25o52 건 사고일자, 청구일자 확인 후 증권변경함</t>
  </si>
  <si>
    <t>소송</t>
  </si>
  <si>
    <t>GLC019</t>
  </si>
  <si>
    <t>New Cyber Security Insurance</t>
  </si>
  <si>
    <t>하남시청</t>
  </si>
  <si>
    <t>도서관 이용 접속 아이디 이용정지, 강제종료, 회원 탈퇴 관련 민원발생</t>
  </si>
  <si>
    <t>개인정보</t>
  </si>
  <si>
    <t>GL7641</t>
  </si>
  <si>
    <t>산림복지프로그램배상책임보험</t>
  </si>
  <si>
    <t>(사)한국숲해설가협회</t>
  </si>
  <si>
    <t>체험중 발가락 골절..#팩스 o9o2_3</t>
  </si>
  <si>
    <t>윤*후</t>
  </si>
  <si>
    <t>GK7781</t>
  </si>
  <si>
    <t>파리 B&amp;B 호텔앞에서 강도 3~4명이 나타나 고객 4명의 가방 강탈..강도들과 몸싸움 과정에서 부상자 발생</t>
  </si>
  <si>
    <r>
      <rPr>
        <sz val="11"/>
        <color theme="1"/>
        <rFont val="돋움"/>
        <family val="3"/>
        <charset val="129"/>
      </rPr>
      <t>인</t>
    </r>
    <r>
      <rPr>
        <sz val="11"/>
        <color theme="1"/>
        <rFont val="Arial"/>
        <family val="2"/>
      </rPr>
      <t xml:space="preserve">001 </t>
    </r>
    <r>
      <rPr>
        <sz val="11"/>
        <color theme="1"/>
        <rFont val="돋움"/>
        <family val="3"/>
        <charset val="129"/>
      </rPr>
      <t>미상</t>
    </r>
    <phoneticPr fontId="15" type="noConversion"/>
  </si>
  <si>
    <r>
      <rPr>
        <sz val="11"/>
        <color theme="1"/>
        <rFont val="돋움"/>
        <family val="3"/>
        <charset val="129"/>
      </rPr>
      <t>물</t>
    </r>
    <r>
      <rPr>
        <sz val="11"/>
        <color theme="1"/>
        <rFont val="Arial"/>
        <family val="2"/>
      </rPr>
      <t xml:space="preserve">001 </t>
    </r>
    <r>
      <rPr>
        <sz val="11"/>
        <color theme="1"/>
        <rFont val="돋움"/>
        <family val="3"/>
        <charset val="129"/>
      </rPr>
      <t>미상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</si>
</sst>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0_);[Red]\(0\)"/>
    <numFmt numFmtId="177" formatCode="0.000%"/>
    <numFmt numFmtId="178" formatCode="[$-409]mmm&quot;-&quot;yy;@"/>
    <numFmt numFmtId="179" formatCode="_-* #,##0.00_-;\-* #,##0.00_-;_-* &quot;-&quot;_-;_-@_-"/>
  </numFmts>
  <fonts count="16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u/>
      <sz val="16"/>
      <color rgb="FF000000"/>
      <name val="Arial"/>
      <family val="2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4"/>
      <color rgb="FF000000"/>
      <name val="돋움"/>
      <family val="3"/>
      <charset val="129"/>
    </font>
    <font>
      <sz val="11"/>
      <color theme="1"/>
      <name val="Arial"/>
      <family val="2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41" fontId="10" fillId="0" borderId="0">
      <alignment vertical="center"/>
    </xf>
    <xf numFmtId="0" fontId="2" fillId="0" borderId="0"/>
    <xf numFmtId="0" fontId="10" fillId="0" borderId="0">
      <alignment vertical="center"/>
    </xf>
  </cellStyleXfs>
  <cellXfs count="114">
    <xf numFmtId="0" fontId="0" fillId="0" borderId="0" xfId="0">
      <alignment vertical="center"/>
    </xf>
    <xf numFmtId="0" fontId="4" fillId="0" borderId="0" xfId="2" applyFont="1" applyAlignment="1">
      <alignment vertical="center"/>
    </xf>
    <xf numFmtId="14" fontId="4" fillId="0" borderId="0" xfId="2" applyNumberFormat="1" applyFont="1" applyAlignment="1">
      <alignment vertical="center"/>
    </xf>
    <xf numFmtId="0" fontId="4" fillId="0" borderId="0" xfId="2" applyFont="1" applyAlignment="1">
      <alignment horizontal="center" vertical="center"/>
    </xf>
    <xf numFmtId="41" fontId="4" fillId="0" borderId="0" xfId="1" applyFont="1">
      <alignment vertical="center"/>
    </xf>
    <xf numFmtId="177" fontId="4" fillId="0" borderId="0" xfId="1" applyNumberFormat="1" applyFont="1">
      <alignment vertical="center"/>
    </xf>
    <xf numFmtId="41" fontId="4" fillId="0" borderId="0" xfId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0" fontId="3" fillId="0" borderId="0" xfId="3" applyFont="1" applyAlignment="1">
      <alignment horizontal="center" vertical="center"/>
    </xf>
    <xf numFmtId="49" fontId="5" fillId="0" borderId="0" xfId="2" applyNumberFormat="1" applyFont="1" applyAlignment="1">
      <alignment horizontal="centerContinuous" vertical="center"/>
    </xf>
    <xf numFmtId="178" fontId="4" fillId="0" borderId="0" xfId="2" applyNumberFormat="1" applyFont="1" applyAlignment="1">
      <alignment vertical="center"/>
    </xf>
    <xf numFmtId="0" fontId="6" fillId="0" borderId="0" xfId="3" applyFont="1" applyProtection="1">
      <alignment vertical="center"/>
      <protection locked="0"/>
    </xf>
    <xf numFmtId="49" fontId="3" fillId="0" borderId="0" xfId="3" applyNumberFormat="1" applyFont="1">
      <alignment vertical="center"/>
    </xf>
    <xf numFmtId="176" fontId="3" fillId="0" borderId="0" xfId="3" applyNumberFormat="1" applyFont="1">
      <alignment vertical="center"/>
    </xf>
    <xf numFmtId="0" fontId="6" fillId="0" borderId="0" xfId="3" applyFont="1" applyAlignment="1">
      <alignment horizontal="center" vertical="center"/>
    </xf>
    <xf numFmtId="41" fontId="6" fillId="0" borderId="0" xfId="1" applyFont="1" applyProtection="1">
      <alignment vertical="center"/>
      <protection locked="0"/>
    </xf>
    <xf numFmtId="177" fontId="6" fillId="0" borderId="0" xfId="1" applyNumberFormat="1" applyFont="1" applyProtection="1">
      <alignment vertical="center"/>
      <protection locked="0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176" fontId="4" fillId="0" borderId="0" xfId="2" applyNumberFormat="1" applyFont="1" applyAlignment="1">
      <alignment horizontal="left" vertical="center"/>
    </xf>
    <xf numFmtId="49" fontId="6" fillId="0" borderId="0" xfId="3" applyNumberFormat="1" applyFont="1">
      <alignment vertical="center"/>
    </xf>
    <xf numFmtId="0" fontId="6" fillId="0" borderId="0" xfId="3" applyFont="1">
      <alignment vertical="center"/>
    </xf>
    <xf numFmtId="41" fontId="6" fillId="0" borderId="0" xfId="1" applyFont="1">
      <alignment vertical="center"/>
    </xf>
    <xf numFmtId="176" fontId="7" fillId="0" borderId="0" xfId="2" applyNumberFormat="1" applyFont="1" applyAlignment="1">
      <alignment horizontal="left" vertical="center"/>
    </xf>
    <xf numFmtId="176" fontId="4" fillId="0" borderId="0" xfId="0" applyNumberFormat="1" applyFont="1">
      <alignment vertical="center"/>
    </xf>
    <xf numFmtId="0" fontId="4" fillId="0" borderId="0" xfId="3" applyFont="1">
      <alignment vertical="center"/>
    </xf>
    <xf numFmtId="49" fontId="4" fillId="0" borderId="0" xfId="3" applyNumberFormat="1" applyFont="1">
      <alignment vertical="center"/>
    </xf>
    <xf numFmtId="0" fontId="8" fillId="0" borderId="0" xfId="0" applyFont="1" applyAlignment="1">
      <alignment horizontal="right" vertical="center"/>
    </xf>
    <xf numFmtId="14" fontId="4" fillId="0" borderId="0" xfId="0" applyNumberFormat="1" applyFont="1">
      <alignment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3" fontId="7" fillId="0" borderId="2" xfId="1" applyNumberFormat="1" applyFont="1" applyBorder="1" applyAlignment="1">
      <alignment horizontal="center" vertical="center" shrinkToFit="1"/>
    </xf>
    <xf numFmtId="3" fontId="7" fillId="0" borderId="3" xfId="1" applyNumberFormat="1" applyFont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8" xfId="0" applyFont="1" applyBorder="1">
      <alignment vertical="center"/>
    </xf>
    <xf numFmtId="0" fontId="4" fillId="0" borderId="2" xfId="0" applyFont="1" applyBorder="1">
      <alignment vertical="center"/>
    </xf>
    <xf numFmtId="41" fontId="7" fillId="0" borderId="9" xfId="0" applyNumberFormat="1" applyFont="1" applyBorder="1">
      <alignment vertical="center"/>
    </xf>
    <xf numFmtId="41" fontId="7" fillId="0" borderId="10" xfId="0" applyNumberFormat="1" applyFont="1" applyBorder="1">
      <alignment vertical="center"/>
    </xf>
    <xf numFmtId="49" fontId="9" fillId="0" borderId="0" xfId="2" applyNumberFormat="1" applyFont="1" applyAlignment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3" fontId="7" fillId="0" borderId="12" xfId="1" applyNumberFormat="1" applyFont="1" applyBorder="1" applyAlignment="1">
      <alignment horizontal="center" vertical="center" shrinkToFit="1"/>
    </xf>
    <xf numFmtId="3" fontId="7" fillId="0" borderId="13" xfId="1" applyNumberFormat="1" applyFont="1" applyBorder="1" applyAlignment="1">
      <alignment horizontal="center" vertical="center" shrinkToFit="1"/>
    </xf>
    <xf numFmtId="0" fontId="4" fillId="0" borderId="14" xfId="0" applyFont="1" applyBorder="1">
      <alignment vertical="center"/>
    </xf>
    <xf numFmtId="3" fontId="7" fillId="0" borderId="15" xfId="1" applyNumberFormat="1" applyFont="1" applyBorder="1" applyAlignment="1">
      <alignment horizontal="center" vertical="center" shrinkToFit="1"/>
    </xf>
    <xf numFmtId="41" fontId="7" fillId="0" borderId="16" xfId="0" applyNumberFormat="1" applyFont="1" applyBorder="1">
      <alignment vertical="center"/>
    </xf>
    <xf numFmtId="3" fontId="7" fillId="0" borderId="1" xfId="1" applyNumberFormat="1" applyFont="1" applyBorder="1" applyAlignment="1">
      <alignment horizontal="center" vertical="center" shrinkToFit="1"/>
    </xf>
    <xf numFmtId="0" fontId="4" fillId="0" borderId="17" xfId="0" applyFont="1" applyBorder="1">
      <alignment vertical="center"/>
    </xf>
    <xf numFmtId="0" fontId="4" fillId="0" borderId="17" xfId="0" applyFont="1" applyBorder="1" applyAlignment="1">
      <alignment horizontal="center" vertical="center"/>
    </xf>
    <xf numFmtId="14" fontId="4" fillId="0" borderId="17" xfId="0" applyNumberFormat="1" applyFont="1" applyBorder="1">
      <alignment vertical="center"/>
    </xf>
    <xf numFmtId="14" fontId="4" fillId="0" borderId="17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41" fontId="4" fillId="0" borderId="19" xfId="0" applyNumberFormat="1" applyFont="1" applyBorder="1">
      <alignment vertical="center"/>
    </xf>
    <xf numFmtId="179" fontId="7" fillId="0" borderId="14" xfId="0" applyNumberFormat="1" applyFont="1" applyBorder="1">
      <alignment vertical="center"/>
    </xf>
    <xf numFmtId="179" fontId="7" fillId="0" borderId="1" xfId="0" applyNumberFormat="1" applyFont="1" applyBorder="1">
      <alignment vertical="center"/>
    </xf>
    <xf numFmtId="179" fontId="7" fillId="0" borderId="16" xfId="0" applyNumberFormat="1" applyFont="1" applyBorder="1">
      <alignment vertical="center"/>
    </xf>
    <xf numFmtId="179" fontId="7" fillId="0" borderId="11" xfId="0" applyNumberFormat="1" applyFont="1" applyBorder="1">
      <alignment vertical="center"/>
    </xf>
    <xf numFmtId="179" fontId="7" fillId="0" borderId="12" xfId="0" applyNumberFormat="1" applyFont="1" applyBorder="1">
      <alignment vertical="center"/>
    </xf>
    <xf numFmtId="179" fontId="7" fillId="0" borderId="9" xfId="0" applyNumberFormat="1" applyFont="1" applyBorder="1">
      <alignment vertical="center"/>
    </xf>
    <xf numFmtId="14" fontId="4" fillId="0" borderId="0" xfId="2" applyNumberFormat="1" applyFont="1" applyAlignment="1">
      <alignment horizontal="left" vertical="center"/>
    </xf>
    <xf numFmtId="14" fontId="5" fillId="0" borderId="0" xfId="2" applyNumberFormat="1" applyFont="1" applyAlignment="1">
      <alignment horizontal="centerContinuous" vertical="center"/>
    </xf>
    <xf numFmtId="14" fontId="4" fillId="2" borderId="5" xfId="0" applyNumberFormat="1" applyFont="1" applyFill="1" applyBorder="1" applyAlignment="1">
      <alignment horizontal="center" vertical="center" wrapText="1"/>
    </xf>
    <xf numFmtId="14" fontId="4" fillId="0" borderId="2" xfId="0" applyNumberFormat="1" applyFont="1" applyBorder="1">
      <alignment vertical="center"/>
    </xf>
    <xf numFmtId="14" fontId="4" fillId="0" borderId="1" xfId="0" applyNumberFormat="1" applyFont="1" applyBorder="1">
      <alignment vertical="center"/>
    </xf>
    <xf numFmtId="14" fontId="4" fillId="0" borderId="12" xfId="0" applyNumberFormat="1" applyFont="1" applyBorder="1">
      <alignment vertical="center"/>
    </xf>
    <xf numFmtId="14" fontId="4" fillId="0" borderId="0" xfId="0" applyNumberFormat="1" applyFont="1" applyAlignment="1">
      <alignment horizontal="left" vertical="center"/>
    </xf>
    <xf numFmtId="14" fontId="6" fillId="0" borderId="0" xfId="3" applyNumberFormat="1" applyFont="1" applyAlignment="1" applyProtection="1">
      <alignment horizontal="left" vertical="center"/>
      <protection locked="0"/>
    </xf>
    <xf numFmtId="0" fontId="4" fillId="0" borderId="20" xfId="0" applyFont="1" applyBorder="1">
      <alignment vertical="center"/>
    </xf>
    <xf numFmtId="179" fontId="4" fillId="0" borderId="0" xfId="1" applyNumberFormat="1" applyFont="1" applyAlignment="1">
      <alignment horizontal="center" vertical="center"/>
    </xf>
    <xf numFmtId="179" fontId="5" fillId="0" borderId="0" xfId="2" applyNumberFormat="1" applyFont="1" applyAlignment="1">
      <alignment horizontal="centerContinuous" vertical="center"/>
    </xf>
    <xf numFmtId="179" fontId="4" fillId="0" borderId="0" xfId="1" applyNumberFormat="1" applyFont="1">
      <alignment vertical="center"/>
    </xf>
    <xf numFmtId="179" fontId="4" fillId="0" borderId="0" xfId="0" applyNumberFormat="1" applyFont="1">
      <alignment vertical="center"/>
    </xf>
    <xf numFmtId="179" fontId="4" fillId="2" borderId="4" xfId="0" applyNumberFormat="1" applyFont="1" applyFill="1" applyBorder="1" applyAlignment="1">
      <alignment horizontal="center" vertical="center" wrapText="1"/>
    </xf>
    <xf numFmtId="179" fontId="4" fillId="2" borderId="5" xfId="0" applyNumberFormat="1" applyFont="1" applyFill="1" applyBorder="1" applyAlignment="1">
      <alignment horizontal="center" vertical="center" wrapText="1"/>
    </xf>
    <xf numFmtId="179" fontId="4" fillId="2" borderId="7" xfId="0" applyNumberFormat="1" applyFont="1" applyFill="1" applyBorder="1" applyAlignment="1">
      <alignment horizontal="center" vertical="center" wrapText="1"/>
    </xf>
    <xf numFmtId="179" fontId="4" fillId="0" borderId="20" xfId="0" applyNumberFormat="1" applyFont="1" applyBorder="1">
      <alignment vertical="center"/>
    </xf>
    <xf numFmtId="179" fontId="4" fillId="0" borderId="17" xfId="0" applyNumberFormat="1" applyFont="1" applyBorder="1">
      <alignment vertical="center"/>
    </xf>
    <xf numFmtId="179" fontId="4" fillId="0" borderId="19" xfId="0" applyNumberFormat="1" applyFont="1" applyBorder="1">
      <alignment vertical="center"/>
    </xf>
    <xf numFmtId="179" fontId="7" fillId="0" borderId="8" xfId="0" applyNumberFormat="1" applyFont="1" applyBorder="1">
      <alignment vertical="center"/>
    </xf>
    <xf numFmtId="179" fontId="7" fillId="0" borderId="2" xfId="0" applyNumberFormat="1" applyFont="1" applyBorder="1">
      <alignment vertical="center"/>
    </xf>
    <xf numFmtId="179" fontId="7" fillId="0" borderId="10" xfId="0" applyNumberFormat="1" applyFont="1" applyBorder="1">
      <alignment vertical="center"/>
    </xf>
    <xf numFmtId="179" fontId="6" fillId="0" borderId="0" xfId="1" applyNumberFormat="1" applyFont="1" applyProtection="1">
      <alignment vertical="center"/>
      <protection locked="0"/>
    </xf>
    <xf numFmtId="179" fontId="4" fillId="0" borderId="0" xfId="3" applyNumberFormat="1" applyFont="1">
      <alignment vertical="center"/>
    </xf>
    <xf numFmtId="179" fontId="8" fillId="0" borderId="0" xfId="0" applyNumberFormat="1" applyFont="1" applyAlignment="1">
      <alignment horizontal="right" vertical="center"/>
    </xf>
    <xf numFmtId="179" fontId="4" fillId="0" borderId="0" xfId="1" applyNumberFormat="1" applyFont="1" applyAlignment="1">
      <alignment horizontal="right" vertical="center"/>
    </xf>
    <xf numFmtId="179" fontId="6" fillId="0" borderId="0" xfId="1" applyNumberFormat="1" applyFont="1">
      <alignment vertical="center"/>
    </xf>
    <xf numFmtId="179" fontId="4" fillId="0" borderId="0" xfId="0" applyNumberFormat="1" applyFont="1" applyAlignment="1">
      <alignment horizontal="center" vertical="center"/>
    </xf>
    <xf numFmtId="176" fontId="4" fillId="0" borderId="0" xfId="2" applyNumberFormat="1" applyFont="1" applyAlignment="1">
      <alignment vertical="center"/>
    </xf>
    <xf numFmtId="176" fontId="5" fillId="0" borderId="0" xfId="2" applyNumberFormat="1" applyFont="1" applyAlignment="1">
      <alignment horizontal="centerContinuous" vertical="center"/>
    </xf>
    <xf numFmtId="176" fontId="4" fillId="0" borderId="0" xfId="2" applyNumberFormat="1" applyFont="1" applyAlignment="1">
      <alignment horizontal="right" vertical="center"/>
    </xf>
    <xf numFmtId="176" fontId="4" fillId="2" borderId="5" xfId="0" applyNumberFormat="1" applyFont="1" applyFill="1" applyBorder="1" applyAlignment="1">
      <alignment horizontal="center" vertical="center" wrapText="1"/>
    </xf>
    <xf numFmtId="176" fontId="6" fillId="0" borderId="0" xfId="3" applyNumberFormat="1" applyFont="1">
      <alignment vertical="center"/>
    </xf>
    <xf numFmtId="176" fontId="6" fillId="0" borderId="0" xfId="3" applyNumberFormat="1" applyFont="1" applyProtection="1">
      <alignment vertical="center"/>
      <protection locked="0"/>
    </xf>
    <xf numFmtId="176" fontId="4" fillId="0" borderId="17" xfId="0" applyNumberFormat="1" applyFont="1" applyBorder="1">
      <alignment vertical="center"/>
    </xf>
    <xf numFmtId="176" fontId="4" fillId="0" borderId="2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176" fontId="4" fillId="0" borderId="12" xfId="0" applyNumberFormat="1" applyFont="1" applyBorder="1">
      <alignment vertical="center"/>
    </xf>
    <xf numFmtId="0" fontId="12" fillId="0" borderId="0" xfId="2" applyFont="1" applyAlignment="1">
      <alignment vertical="center"/>
    </xf>
    <xf numFmtId="0" fontId="13" fillId="0" borderId="0" xfId="0" applyFont="1">
      <alignment vertical="center"/>
    </xf>
    <xf numFmtId="0" fontId="13" fillId="0" borderId="20" xfId="0" applyFont="1" applyBorder="1">
      <alignment vertical="center"/>
    </xf>
    <xf numFmtId="0" fontId="13" fillId="0" borderId="17" xfId="0" applyFont="1" applyBorder="1" applyAlignment="1">
      <alignment horizontal="center" vertical="center"/>
    </xf>
    <xf numFmtId="0" fontId="13" fillId="0" borderId="17" xfId="0" applyFont="1" applyBorder="1">
      <alignment vertical="center"/>
    </xf>
    <xf numFmtId="14" fontId="13" fillId="0" borderId="17" xfId="0" applyNumberFormat="1" applyFont="1" applyBorder="1">
      <alignment vertical="center"/>
    </xf>
    <xf numFmtId="176" fontId="13" fillId="0" borderId="17" xfId="0" applyNumberFormat="1" applyFont="1" applyBorder="1">
      <alignment vertical="center"/>
    </xf>
    <xf numFmtId="14" fontId="13" fillId="0" borderId="17" xfId="0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179" fontId="13" fillId="0" borderId="20" xfId="0" applyNumberFormat="1" applyFont="1" applyBorder="1">
      <alignment vertical="center"/>
    </xf>
    <xf numFmtId="179" fontId="13" fillId="0" borderId="17" xfId="0" applyNumberFormat="1" applyFont="1" applyBorder="1">
      <alignment vertical="center"/>
    </xf>
    <xf numFmtId="41" fontId="13" fillId="0" borderId="19" xfId="0" applyNumberFormat="1" applyFont="1" applyBorder="1">
      <alignment vertical="center"/>
    </xf>
    <xf numFmtId="179" fontId="13" fillId="0" borderId="19" xfId="0" applyNumberFormat="1" applyFont="1" applyBorder="1">
      <alignment vertical="center"/>
    </xf>
    <xf numFmtId="41" fontId="13" fillId="0" borderId="0" xfId="1" applyFont="1" applyFill="1" applyAlignment="1">
      <alignment vertical="center"/>
    </xf>
  </cellXfs>
  <cellStyles count="4">
    <cellStyle name="쉼표 [0]" xfId="1" builtinId="6"/>
    <cellStyle name="표준" xfId="0" builtinId="0"/>
    <cellStyle name="표준 2" xfId="3"/>
    <cellStyle name="표준_SUM_FAC SoA_Sep~Oct 2008_Brdx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981075</xdr:colOff>
      <xdr:row>0</xdr:row>
      <xdr:rowOff>52451</xdr:rowOff>
    </xdr:from>
    <xdr:to>
      <xdr:col>24</xdr:col>
      <xdr:colOff>685799</xdr:colOff>
      <xdr:row>5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47856320" y="108857"/>
          <a:ext cx="5538107" cy="2081892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1419225</xdr:colOff>
      <xdr:row>92</xdr:row>
      <xdr:rowOff>19050</xdr:rowOff>
    </xdr:from>
    <xdr:to>
      <xdr:col>24</xdr:col>
      <xdr:colOff>1185926</xdr:colOff>
      <xdr:row>95</xdr:row>
      <xdr:rowOff>28574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48740788" y="127185960"/>
          <a:ext cx="5646964" cy="1279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00CC"/>
  </sheetPr>
  <dimension ref="A1:AA101"/>
  <sheetViews>
    <sheetView tabSelected="1" zoomScale="70" zoomScaleNormal="70" zoomScaleSheetLayoutView="75" workbookViewId="0">
      <pane xSplit="3" ySplit="12" topLeftCell="D13" activePane="bottomRight" state="frozen"/>
      <selection pane="topRight"/>
      <selection pane="bottomLeft"/>
      <selection pane="bottomRight" activeCell="T16" sqref="T16"/>
    </sheetView>
  </sheetViews>
  <sheetFormatPr defaultColWidth="9" defaultRowHeight="14.25" outlineLevelCol="1" x14ac:dyDescent="0.3"/>
  <cols>
    <col min="1" max="1" width="2.75" style="17" customWidth="1"/>
    <col min="2" max="2" width="24" style="17" customWidth="1"/>
    <col min="3" max="3" width="16.875" style="24" customWidth="1"/>
    <col min="4" max="4" width="14.125" style="17" customWidth="1"/>
    <col min="5" max="6" width="11.125" style="17" customWidth="1"/>
    <col min="7" max="7" width="19.375" style="24" customWidth="1"/>
    <col min="8" max="9" width="14.375" style="17" customWidth="1"/>
    <col min="10" max="10" width="17" style="17" customWidth="1"/>
    <col min="11" max="11" width="11.375" style="17" customWidth="1"/>
    <col min="12" max="12" width="14.75" style="28" customWidth="1"/>
    <col min="13" max="13" width="12.125" style="29" customWidth="1"/>
    <col min="14" max="16" width="12.125" style="29" hidden="1" customWidth="1" outlineLevel="1"/>
    <col min="17" max="17" width="16.375" style="30" customWidth="1" collapsed="1"/>
    <col min="18" max="18" width="19.875" style="30" customWidth="1"/>
    <col min="19" max="19" width="24.75" style="89" customWidth="1"/>
    <col min="20" max="20" width="18.875" style="73" customWidth="1"/>
    <col min="21" max="21" width="21" style="73" customWidth="1"/>
    <col min="22" max="22" width="17" style="4" customWidth="1"/>
    <col min="23" max="23" width="23" style="73" customWidth="1"/>
    <col min="24" max="25" width="17.125" style="73" customWidth="1"/>
    <col min="26" max="26" width="17.125" style="4" customWidth="1"/>
    <col min="27" max="27" width="11.625" style="4" customWidth="1"/>
    <col min="28" max="28" width="1.375" style="17" customWidth="1"/>
    <col min="29" max="29" width="11.875" style="17" bestFit="1" customWidth="1"/>
    <col min="30" max="16384" width="9" style="17"/>
  </cols>
  <sheetData>
    <row r="1" spans="1:27" s="1" customFormat="1" x14ac:dyDescent="0.3">
      <c r="D1" s="11"/>
      <c r="E1" s="2"/>
      <c r="F1" s="2"/>
      <c r="G1" s="90"/>
      <c r="H1" s="3"/>
      <c r="I1" s="3"/>
      <c r="J1" s="3"/>
      <c r="K1" s="3"/>
      <c r="L1" s="62"/>
      <c r="M1" s="3"/>
      <c r="N1" s="3"/>
      <c r="O1" s="3"/>
      <c r="P1" s="3"/>
      <c r="Q1" s="4"/>
      <c r="R1" s="4"/>
      <c r="S1" s="73"/>
      <c r="T1" s="73"/>
      <c r="U1" s="73"/>
      <c r="V1" s="5"/>
      <c r="W1" s="71"/>
      <c r="X1" s="71"/>
      <c r="Y1" s="71"/>
      <c r="Z1" s="4"/>
    </row>
    <row r="2" spans="1:27" s="1" customFormat="1" x14ac:dyDescent="0.3">
      <c r="B2" s="1" t="s">
        <v>3</v>
      </c>
      <c r="D2" s="11"/>
      <c r="E2" s="2"/>
      <c r="F2" s="2"/>
      <c r="G2" s="90"/>
      <c r="H2" s="3"/>
      <c r="I2" s="3"/>
      <c r="J2" s="3"/>
      <c r="K2" s="3"/>
      <c r="L2" s="62"/>
      <c r="M2" s="3"/>
      <c r="N2" s="3"/>
      <c r="O2" s="3"/>
      <c r="P2" s="3"/>
      <c r="Q2" s="4"/>
      <c r="R2" s="4"/>
      <c r="S2" s="73"/>
      <c r="T2" s="73"/>
      <c r="U2" s="73"/>
      <c r="V2" s="5"/>
      <c r="W2" s="71"/>
      <c r="X2" s="71"/>
      <c r="Y2" s="71"/>
      <c r="Z2" s="4"/>
    </row>
    <row r="3" spans="1:27" s="1" customFormat="1" x14ac:dyDescent="0.3">
      <c r="B3" s="1" t="s">
        <v>38</v>
      </c>
      <c r="D3" s="11"/>
      <c r="E3" s="10"/>
      <c r="F3" s="10"/>
      <c r="G3" s="90"/>
      <c r="H3" s="3"/>
      <c r="I3" s="3"/>
      <c r="J3" s="3"/>
      <c r="K3" s="3"/>
      <c r="L3" s="62"/>
      <c r="M3" s="3"/>
      <c r="N3" s="3"/>
      <c r="O3" s="3"/>
      <c r="P3" s="3"/>
      <c r="Q3" s="4"/>
      <c r="R3" s="4"/>
      <c r="S3" s="73"/>
      <c r="T3" s="73"/>
      <c r="U3" s="73"/>
      <c r="V3" s="5"/>
      <c r="W3" s="71"/>
      <c r="X3" s="71"/>
      <c r="Y3" s="71"/>
      <c r="Z3" s="4"/>
    </row>
    <row r="4" spans="1:27" s="1" customFormat="1" x14ac:dyDescent="0.3">
      <c r="B4" s="1" t="s">
        <v>19</v>
      </c>
      <c r="D4" s="11"/>
      <c r="E4" s="2"/>
      <c r="F4" s="2"/>
      <c r="G4" s="90"/>
      <c r="H4" s="3"/>
      <c r="I4" s="3"/>
      <c r="J4" s="3"/>
      <c r="K4" s="3"/>
      <c r="L4" s="62"/>
      <c r="M4" s="3"/>
      <c r="N4" s="3"/>
      <c r="O4" s="3"/>
      <c r="P4" s="3"/>
      <c r="Q4" s="4"/>
      <c r="R4" s="4"/>
      <c r="S4" s="73"/>
      <c r="T4" s="73"/>
      <c r="U4" s="73"/>
      <c r="V4" s="5"/>
      <c r="W4" s="71"/>
      <c r="X4" s="71"/>
      <c r="Y4" s="71"/>
      <c r="Z4" s="4"/>
    </row>
    <row r="5" spans="1:27" s="1" customFormat="1" x14ac:dyDescent="0.3">
      <c r="B5" s="1" t="s">
        <v>21</v>
      </c>
      <c r="D5" s="11"/>
      <c r="E5" s="2"/>
      <c r="F5" s="2"/>
      <c r="G5" s="90"/>
      <c r="H5" s="3"/>
      <c r="I5" s="3"/>
      <c r="J5" s="3"/>
      <c r="K5" s="3"/>
      <c r="L5" s="62"/>
      <c r="M5" s="3"/>
      <c r="N5" s="3"/>
      <c r="O5" s="3"/>
      <c r="P5" s="3"/>
      <c r="Q5" s="4"/>
      <c r="R5" s="4"/>
      <c r="S5" s="73"/>
      <c r="T5" s="73"/>
      <c r="U5" s="73"/>
      <c r="V5" s="5"/>
      <c r="W5" s="71"/>
      <c r="X5" s="71"/>
      <c r="Y5" s="71"/>
      <c r="Z5" s="4"/>
    </row>
    <row r="6" spans="1:27" s="1" customFormat="1" ht="9.75" customHeight="1" x14ac:dyDescent="0.3">
      <c r="B6" s="17"/>
      <c r="D6" s="11"/>
      <c r="E6" s="2"/>
      <c r="F6" s="2"/>
      <c r="G6" s="90"/>
      <c r="H6" s="3"/>
      <c r="I6" s="3"/>
      <c r="J6" s="3"/>
      <c r="K6" s="3"/>
      <c r="L6" s="62"/>
      <c r="M6" s="3"/>
      <c r="N6" s="3"/>
      <c r="O6" s="3"/>
      <c r="P6" s="3"/>
      <c r="Q6" s="4"/>
      <c r="R6" s="4"/>
      <c r="S6" s="73"/>
      <c r="T6" s="73"/>
      <c r="U6" s="73"/>
      <c r="V6" s="5"/>
      <c r="W6" s="71"/>
      <c r="X6" s="71"/>
      <c r="Y6" s="71"/>
    </row>
    <row r="7" spans="1:27" s="1" customFormat="1" x14ac:dyDescent="0.3">
      <c r="B7" s="17" t="s">
        <v>20</v>
      </c>
      <c r="D7" s="11"/>
      <c r="E7" s="2"/>
      <c r="F7" s="2"/>
      <c r="G7" s="90"/>
      <c r="H7" s="3"/>
      <c r="I7" s="3"/>
      <c r="J7" s="3"/>
      <c r="K7" s="3"/>
      <c r="L7" s="62"/>
      <c r="M7" s="3"/>
      <c r="N7" s="3"/>
      <c r="O7" s="3"/>
      <c r="P7" s="3"/>
      <c r="Q7" s="4"/>
      <c r="R7" s="4"/>
      <c r="S7" s="73"/>
      <c r="T7" s="73"/>
      <c r="U7" s="73"/>
      <c r="V7" s="5"/>
      <c r="W7" s="71"/>
      <c r="X7" s="71"/>
      <c r="Y7" s="71"/>
    </row>
    <row r="8" spans="1:27" s="3" customFormat="1" ht="20.45" customHeight="1" x14ac:dyDescent="0.3">
      <c r="B8" s="9" t="s">
        <v>41</v>
      </c>
      <c r="C8" s="9"/>
      <c r="D8" s="9"/>
      <c r="E8" s="9"/>
      <c r="F8" s="9"/>
      <c r="G8" s="91"/>
      <c r="H8" s="9"/>
      <c r="I8" s="9"/>
      <c r="J8" s="9"/>
      <c r="K8" s="9"/>
      <c r="L8" s="63"/>
      <c r="M8" s="9"/>
      <c r="N8" s="9"/>
      <c r="O8" s="9"/>
      <c r="P8" s="9"/>
      <c r="Q8" s="9"/>
      <c r="R8" s="9"/>
      <c r="S8" s="72"/>
      <c r="T8" s="72"/>
      <c r="U8" s="72"/>
      <c r="V8" s="9"/>
      <c r="W8" s="72"/>
      <c r="X8" s="72"/>
      <c r="Y8" s="72"/>
      <c r="Z8" s="9"/>
    </row>
    <row r="9" spans="1:27" s="1" customFormat="1" x14ac:dyDescent="0.3">
      <c r="D9" s="3"/>
      <c r="E9" s="2"/>
      <c r="F9" s="2"/>
      <c r="G9" s="92"/>
      <c r="H9" s="3"/>
      <c r="I9" s="3"/>
      <c r="J9" s="3"/>
      <c r="K9" s="3"/>
      <c r="L9" s="62"/>
      <c r="M9" s="3"/>
      <c r="N9" s="3"/>
      <c r="O9" s="3"/>
      <c r="P9" s="3"/>
      <c r="Q9" s="6"/>
      <c r="R9" s="6"/>
      <c r="S9" s="87"/>
      <c r="T9" s="87"/>
      <c r="U9" s="87"/>
      <c r="V9" s="7"/>
      <c r="W9" s="71"/>
      <c r="X9" s="73"/>
      <c r="Y9" s="73"/>
      <c r="Z9" s="4"/>
    </row>
    <row r="10" spans="1:27" s="1" customFormat="1" ht="18.75" x14ac:dyDescent="0.3">
      <c r="B10" s="41" t="s">
        <v>40</v>
      </c>
      <c r="C10" s="100" t="s">
        <v>42</v>
      </c>
      <c r="D10" s="3"/>
      <c r="E10" s="2"/>
      <c r="F10" s="2"/>
      <c r="G10" s="90"/>
      <c r="H10" s="3"/>
      <c r="I10" s="3"/>
      <c r="J10" s="3"/>
      <c r="K10" s="3"/>
      <c r="L10" s="62"/>
      <c r="M10" s="3"/>
      <c r="N10" s="3"/>
      <c r="O10" s="3"/>
      <c r="P10" s="3"/>
      <c r="Q10" s="4"/>
      <c r="R10" s="4"/>
      <c r="S10" s="73"/>
      <c r="T10" s="73"/>
      <c r="U10" s="73"/>
      <c r="V10" s="5"/>
      <c r="W10" s="71"/>
      <c r="X10" s="71"/>
      <c r="Y10" s="71"/>
      <c r="Z10" s="4"/>
    </row>
    <row r="11" spans="1:27" x14ac:dyDescent="0.3">
      <c r="C11" s="17"/>
      <c r="M11" s="17"/>
      <c r="N11" s="17"/>
      <c r="O11" s="17"/>
      <c r="P11" s="17"/>
      <c r="Q11" s="17"/>
      <c r="R11" s="17"/>
      <c r="S11" s="74"/>
      <c r="T11" s="74"/>
      <c r="U11" s="74"/>
      <c r="V11" s="17"/>
      <c r="W11" s="74"/>
      <c r="X11" s="74"/>
      <c r="Y11" s="74"/>
      <c r="Z11" s="17"/>
      <c r="AA11" s="17"/>
    </row>
    <row r="12" spans="1:27" ht="59.45" customHeight="1" thickBot="1" x14ac:dyDescent="0.35">
      <c r="B12" s="33" t="s">
        <v>22</v>
      </c>
      <c r="C12" s="34" t="s">
        <v>26</v>
      </c>
      <c r="D12" s="34" t="s">
        <v>0</v>
      </c>
      <c r="E12" s="34" t="s">
        <v>24</v>
      </c>
      <c r="F12" s="34" t="s">
        <v>2</v>
      </c>
      <c r="G12" s="93" t="s">
        <v>1</v>
      </c>
      <c r="H12" s="34" t="s">
        <v>23</v>
      </c>
      <c r="I12" s="34" t="s">
        <v>6</v>
      </c>
      <c r="J12" s="34" t="s">
        <v>32</v>
      </c>
      <c r="K12" s="34" t="s">
        <v>4</v>
      </c>
      <c r="L12" s="64" t="s">
        <v>5</v>
      </c>
      <c r="M12" s="34" t="s">
        <v>25</v>
      </c>
      <c r="N12" s="34" t="s">
        <v>27</v>
      </c>
      <c r="O12" s="34" t="s">
        <v>35</v>
      </c>
      <c r="P12" s="34" t="s">
        <v>37</v>
      </c>
      <c r="Q12" s="34" t="s">
        <v>28</v>
      </c>
      <c r="R12" s="35" t="s">
        <v>36</v>
      </c>
      <c r="S12" s="75" t="s">
        <v>29</v>
      </c>
      <c r="T12" s="76" t="s">
        <v>30</v>
      </c>
      <c r="U12" s="76" t="s">
        <v>33</v>
      </c>
      <c r="V12" s="36" t="s">
        <v>34</v>
      </c>
      <c r="W12" s="75" t="s">
        <v>17</v>
      </c>
      <c r="X12" s="76" t="s">
        <v>18</v>
      </c>
      <c r="Y12" s="77" t="s">
        <v>31</v>
      </c>
      <c r="Z12" s="17"/>
      <c r="AA12" s="17"/>
    </row>
    <row r="13" spans="1:27" x14ac:dyDescent="0.3">
      <c r="A13" s="17" t="s">
        <v>43</v>
      </c>
      <c r="B13" s="70" t="s">
        <v>44</v>
      </c>
      <c r="C13" s="51">
        <v>20236251116</v>
      </c>
      <c r="D13" s="50" t="s">
        <v>45</v>
      </c>
      <c r="E13" s="52">
        <v>45219</v>
      </c>
      <c r="F13" s="52">
        <v>45585</v>
      </c>
      <c r="G13" s="96">
        <v>20241010024078</v>
      </c>
      <c r="H13" s="53">
        <v>45477</v>
      </c>
      <c r="I13" s="53">
        <v>45575</v>
      </c>
      <c r="J13" s="50" t="s">
        <v>46</v>
      </c>
      <c r="K13" s="50" t="s">
        <v>47</v>
      </c>
      <c r="L13" s="53">
        <v>45575</v>
      </c>
      <c r="M13" s="51">
        <v>0</v>
      </c>
      <c r="N13" s="51">
        <v>1</v>
      </c>
      <c r="O13" s="51">
        <v>1</v>
      </c>
      <c r="P13" s="51" t="s">
        <v>48</v>
      </c>
      <c r="Q13" s="51" t="s">
        <v>14</v>
      </c>
      <c r="R13" s="54" t="s">
        <v>14</v>
      </c>
      <c r="S13" s="78">
        <v>10000000</v>
      </c>
      <c r="T13" s="79">
        <v>0</v>
      </c>
      <c r="U13" s="79">
        <v>1200000</v>
      </c>
      <c r="V13" s="55">
        <v>30</v>
      </c>
      <c r="W13" s="78">
        <v>3000000</v>
      </c>
      <c r="X13" s="79">
        <v>0</v>
      </c>
      <c r="Y13" s="80">
        <v>360000</v>
      </c>
    </row>
    <row r="14" spans="1:27" x14ac:dyDescent="0.3">
      <c r="B14" s="70"/>
      <c r="C14" s="51">
        <v>20236999780</v>
      </c>
      <c r="D14" s="50" t="s">
        <v>49</v>
      </c>
      <c r="E14" s="52">
        <v>45254</v>
      </c>
      <c r="F14" s="52">
        <v>45619</v>
      </c>
      <c r="G14" s="96">
        <v>20240604023236</v>
      </c>
      <c r="H14" s="53">
        <v>45426</v>
      </c>
      <c r="I14" s="53">
        <v>45447</v>
      </c>
      <c r="J14" s="50" t="s">
        <v>50</v>
      </c>
      <c r="K14" s="50" t="s">
        <v>51</v>
      </c>
      <c r="L14" s="53">
        <v>45490</v>
      </c>
      <c r="M14" s="51">
        <v>1</v>
      </c>
      <c r="N14" s="51">
        <v>1</v>
      </c>
      <c r="O14" s="51">
        <v>1</v>
      </c>
      <c r="P14" s="51" t="s">
        <v>48</v>
      </c>
      <c r="Q14" s="51" t="s">
        <v>14</v>
      </c>
      <c r="R14" s="54" t="s">
        <v>14</v>
      </c>
      <c r="S14" s="78">
        <v>1</v>
      </c>
      <c r="T14" s="79">
        <v>0</v>
      </c>
      <c r="U14" s="79">
        <v>1200000</v>
      </c>
      <c r="V14" s="55">
        <v>30</v>
      </c>
      <c r="W14" s="78">
        <v>0.3</v>
      </c>
      <c r="X14" s="79">
        <v>0</v>
      </c>
      <c r="Y14" s="80">
        <v>360000</v>
      </c>
    </row>
    <row r="15" spans="1:27" x14ac:dyDescent="0.3">
      <c r="B15" s="70"/>
      <c r="C15" s="51">
        <v>20240383594</v>
      </c>
      <c r="D15" s="50" t="s">
        <v>52</v>
      </c>
      <c r="E15" s="52">
        <v>45311</v>
      </c>
      <c r="F15" s="52">
        <v>45676</v>
      </c>
      <c r="G15" s="96">
        <v>20240221011037</v>
      </c>
      <c r="H15" s="53">
        <v>45310</v>
      </c>
      <c r="I15" s="53">
        <v>45321</v>
      </c>
      <c r="J15" s="50" t="s">
        <v>53</v>
      </c>
      <c r="K15" s="50" t="s">
        <v>54</v>
      </c>
      <c r="L15" s="53">
        <v>45601</v>
      </c>
      <c r="M15" s="51">
        <v>2</v>
      </c>
      <c r="N15" s="51">
        <v>1</v>
      </c>
      <c r="O15" s="51">
        <v>1</v>
      </c>
      <c r="P15" s="51" t="s">
        <v>48</v>
      </c>
      <c r="Q15" s="51" t="s">
        <v>14</v>
      </c>
      <c r="R15" s="54" t="s">
        <v>14</v>
      </c>
      <c r="S15" s="78">
        <v>8160000</v>
      </c>
      <c r="T15" s="79">
        <v>0</v>
      </c>
      <c r="U15" s="79">
        <v>2000000</v>
      </c>
      <c r="V15" s="55">
        <v>5</v>
      </c>
      <c r="W15" s="78">
        <v>408000</v>
      </c>
      <c r="X15" s="79">
        <v>0</v>
      </c>
      <c r="Y15" s="80">
        <v>100000</v>
      </c>
    </row>
    <row r="16" spans="1:27" x14ac:dyDescent="0.3">
      <c r="B16" s="70"/>
      <c r="C16" s="51">
        <v>20240971339</v>
      </c>
      <c r="D16" s="50" t="s">
        <v>55</v>
      </c>
      <c r="E16" s="52">
        <v>45339</v>
      </c>
      <c r="F16" s="52">
        <v>45704</v>
      </c>
      <c r="G16" s="96">
        <v>20250526043472</v>
      </c>
      <c r="H16" s="53">
        <v>45681</v>
      </c>
      <c r="I16" s="53">
        <v>45803</v>
      </c>
      <c r="J16" s="50" t="s">
        <v>56</v>
      </c>
      <c r="K16" s="50" t="s">
        <v>57</v>
      </c>
      <c r="L16" s="53">
        <v>45852</v>
      </c>
      <c r="M16" s="51">
        <v>3</v>
      </c>
      <c r="N16" s="51">
        <v>1</v>
      </c>
      <c r="O16" s="51">
        <v>1</v>
      </c>
      <c r="P16" s="51" t="s">
        <v>48</v>
      </c>
      <c r="Q16" s="51" t="s">
        <v>14</v>
      </c>
      <c r="R16" s="54" t="s">
        <v>14</v>
      </c>
      <c r="S16" s="78">
        <v>19400000</v>
      </c>
      <c r="T16" s="79">
        <v>0</v>
      </c>
      <c r="U16" s="79">
        <v>2000000</v>
      </c>
      <c r="V16" s="55">
        <v>10</v>
      </c>
      <c r="W16" s="78">
        <v>1940000</v>
      </c>
      <c r="X16" s="79">
        <v>0</v>
      </c>
      <c r="Y16" s="80">
        <v>200000</v>
      </c>
    </row>
    <row r="17" spans="2:25" x14ac:dyDescent="0.3">
      <c r="B17" s="70"/>
      <c r="C17" s="51">
        <v>20243154350</v>
      </c>
      <c r="D17" s="50" t="s">
        <v>58</v>
      </c>
      <c r="E17" s="52">
        <v>45433</v>
      </c>
      <c r="F17" s="52">
        <v>45797</v>
      </c>
      <c r="G17" s="96">
        <v>20240712022183</v>
      </c>
      <c r="H17" s="53">
        <v>45337</v>
      </c>
      <c r="I17" s="53">
        <v>45484</v>
      </c>
      <c r="J17" s="50" t="s">
        <v>59</v>
      </c>
      <c r="K17" s="50" t="s">
        <v>60</v>
      </c>
      <c r="L17" s="53">
        <v>45628</v>
      </c>
      <c r="M17" s="51">
        <v>2</v>
      </c>
      <c r="N17" s="51">
        <v>1</v>
      </c>
      <c r="O17" s="51">
        <v>1</v>
      </c>
      <c r="P17" s="51" t="s">
        <v>48</v>
      </c>
      <c r="Q17" s="51" t="s">
        <v>14</v>
      </c>
      <c r="R17" s="54" t="s">
        <v>14</v>
      </c>
      <c r="S17" s="78">
        <v>72490000</v>
      </c>
      <c r="T17" s="79">
        <v>0</v>
      </c>
      <c r="U17" s="79">
        <v>3000000</v>
      </c>
      <c r="V17" s="55">
        <v>1</v>
      </c>
      <c r="W17" s="78">
        <v>724900</v>
      </c>
      <c r="X17" s="79">
        <v>0</v>
      </c>
      <c r="Y17" s="80">
        <v>30000</v>
      </c>
    </row>
    <row r="18" spans="2:25" x14ac:dyDescent="0.3">
      <c r="B18" s="70"/>
      <c r="C18" s="51">
        <v>20243154350</v>
      </c>
      <c r="D18" s="50" t="s">
        <v>58</v>
      </c>
      <c r="E18" s="52">
        <v>45433</v>
      </c>
      <c r="F18" s="52">
        <v>45797</v>
      </c>
      <c r="G18" s="96">
        <v>20250318011705</v>
      </c>
      <c r="H18" s="53">
        <v>45721</v>
      </c>
      <c r="I18" s="53">
        <v>45733</v>
      </c>
      <c r="J18" s="50" t="s">
        <v>61</v>
      </c>
      <c r="K18" s="50" t="s">
        <v>62</v>
      </c>
      <c r="L18" s="53">
        <v>45734</v>
      </c>
      <c r="M18" s="51">
        <v>0</v>
      </c>
      <c r="N18" s="51">
        <v>1</v>
      </c>
      <c r="O18" s="51">
        <v>1</v>
      </c>
      <c r="P18" s="51" t="s">
        <v>48</v>
      </c>
      <c r="Q18" s="51" t="s">
        <v>14</v>
      </c>
      <c r="R18" s="54" t="s">
        <v>14</v>
      </c>
      <c r="S18" s="78">
        <v>10000000</v>
      </c>
      <c r="T18" s="79">
        <v>0</v>
      </c>
      <c r="U18" s="79">
        <v>1000000</v>
      </c>
      <c r="V18" s="55">
        <v>1</v>
      </c>
      <c r="W18" s="78">
        <v>100000</v>
      </c>
      <c r="X18" s="79">
        <v>0</v>
      </c>
      <c r="Y18" s="80">
        <v>10000</v>
      </c>
    </row>
    <row r="19" spans="2:25" x14ac:dyDescent="0.3">
      <c r="B19" s="70"/>
      <c r="C19" s="51">
        <v>20243154350</v>
      </c>
      <c r="D19" s="50" t="s">
        <v>58</v>
      </c>
      <c r="E19" s="52">
        <v>45433</v>
      </c>
      <c r="F19" s="52">
        <v>45797</v>
      </c>
      <c r="G19" s="96">
        <v>20251027030103</v>
      </c>
      <c r="H19" s="53">
        <v>45561</v>
      </c>
      <c r="I19" s="53">
        <v>45957</v>
      </c>
      <c r="J19" s="50" t="s">
        <v>63</v>
      </c>
      <c r="K19" s="50" t="s">
        <v>64</v>
      </c>
      <c r="L19" s="53">
        <v>45967</v>
      </c>
      <c r="M19" s="51">
        <v>1</v>
      </c>
      <c r="N19" s="51">
        <v>1</v>
      </c>
      <c r="O19" s="51">
        <v>1</v>
      </c>
      <c r="P19" s="51" t="s">
        <v>48</v>
      </c>
      <c r="Q19" s="51" t="s">
        <v>14</v>
      </c>
      <c r="R19" s="54" t="s">
        <v>14</v>
      </c>
      <c r="S19" s="78">
        <v>5000000</v>
      </c>
      <c r="T19" s="79">
        <v>0</v>
      </c>
      <c r="U19" s="79">
        <v>1200000</v>
      </c>
      <c r="V19" s="55">
        <v>1</v>
      </c>
      <c r="W19" s="78">
        <v>50000</v>
      </c>
      <c r="X19" s="79">
        <v>0</v>
      </c>
      <c r="Y19" s="80">
        <v>12000</v>
      </c>
    </row>
    <row r="20" spans="2:25" x14ac:dyDescent="0.3">
      <c r="B20" s="70"/>
      <c r="C20" s="51">
        <v>20244662364</v>
      </c>
      <c r="D20" s="50" t="s">
        <v>65</v>
      </c>
      <c r="E20" s="52">
        <v>45498</v>
      </c>
      <c r="F20" s="52">
        <v>45862</v>
      </c>
      <c r="G20" s="96">
        <v>20250722029264</v>
      </c>
      <c r="H20" s="53">
        <v>45499</v>
      </c>
      <c r="I20" s="53">
        <v>45648</v>
      </c>
      <c r="J20" s="50" t="s">
        <v>66</v>
      </c>
      <c r="K20" s="50" t="s">
        <v>67</v>
      </c>
      <c r="L20" s="53">
        <v>45930</v>
      </c>
      <c r="M20" s="51">
        <v>2</v>
      </c>
      <c r="N20" s="51">
        <v>1</v>
      </c>
      <c r="O20" s="51">
        <v>1</v>
      </c>
      <c r="P20" s="51" t="s">
        <v>48</v>
      </c>
      <c r="Q20" s="51" t="s">
        <v>14</v>
      </c>
      <c r="R20" s="54" t="s">
        <v>14</v>
      </c>
      <c r="S20" s="78">
        <v>10000000</v>
      </c>
      <c r="T20" s="79">
        <v>5000000</v>
      </c>
      <c r="U20" s="79">
        <v>600000</v>
      </c>
      <c r="V20" s="55">
        <v>11</v>
      </c>
      <c r="W20" s="78">
        <v>1100000</v>
      </c>
      <c r="X20" s="79">
        <v>550000</v>
      </c>
      <c r="Y20" s="80">
        <v>66000</v>
      </c>
    </row>
    <row r="21" spans="2:25" x14ac:dyDescent="0.3">
      <c r="B21" s="70"/>
      <c r="C21" s="51">
        <v>20245777731</v>
      </c>
      <c r="D21" s="50" t="s">
        <v>68</v>
      </c>
      <c r="E21" s="52">
        <v>45547</v>
      </c>
      <c r="F21" s="52">
        <v>45911</v>
      </c>
      <c r="G21" s="96">
        <v>20250619014517</v>
      </c>
      <c r="H21" s="53">
        <v>45734</v>
      </c>
      <c r="I21" s="53">
        <v>45827</v>
      </c>
      <c r="J21" s="50" t="s">
        <v>69</v>
      </c>
      <c r="K21" s="50" t="s">
        <v>70</v>
      </c>
      <c r="L21" s="53">
        <v>45828</v>
      </c>
      <c r="M21" s="51">
        <v>0</v>
      </c>
      <c r="N21" s="51">
        <v>1</v>
      </c>
      <c r="O21" s="51">
        <v>1</v>
      </c>
      <c r="P21" s="51" t="s">
        <v>48</v>
      </c>
      <c r="Q21" s="51" t="s">
        <v>14</v>
      </c>
      <c r="R21" s="54" t="s">
        <v>14</v>
      </c>
      <c r="S21" s="78">
        <v>30000000</v>
      </c>
      <c r="T21" s="79">
        <v>0</v>
      </c>
      <c r="U21" s="79">
        <v>2000000</v>
      </c>
      <c r="V21" s="55">
        <v>15</v>
      </c>
      <c r="W21" s="78">
        <v>4500000</v>
      </c>
      <c r="X21" s="79">
        <v>0</v>
      </c>
      <c r="Y21" s="80">
        <v>300000</v>
      </c>
    </row>
    <row r="22" spans="2:25" x14ac:dyDescent="0.3">
      <c r="B22" s="70"/>
      <c r="C22" s="51">
        <v>20245777731</v>
      </c>
      <c r="D22" s="50" t="s">
        <v>71</v>
      </c>
      <c r="E22" s="52">
        <v>45547</v>
      </c>
      <c r="F22" s="52">
        <v>45911</v>
      </c>
      <c r="G22" s="96">
        <v>20251014030186</v>
      </c>
      <c r="H22" s="53">
        <v>45638</v>
      </c>
      <c r="I22" s="53">
        <v>45944</v>
      </c>
      <c r="J22" s="50" t="s">
        <v>72</v>
      </c>
      <c r="K22" s="50" t="s">
        <v>73</v>
      </c>
      <c r="L22" s="53">
        <v>45954</v>
      </c>
      <c r="M22" s="51">
        <v>1</v>
      </c>
      <c r="N22" s="51">
        <v>1</v>
      </c>
      <c r="O22" s="51">
        <v>1</v>
      </c>
      <c r="P22" s="51" t="s">
        <v>48</v>
      </c>
      <c r="Q22" s="51" t="s">
        <v>14</v>
      </c>
      <c r="R22" s="54" t="s">
        <v>14</v>
      </c>
      <c r="S22" s="78">
        <v>5000000</v>
      </c>
      <c r="T22" s="79">
        <v>0</v>
      </c>
      <c r="U22" s="79">
        <v>1200000</v>
      </c>
      <c r="V22" s="55">
        <v>15</v>
      </c>
      <c r="W22" s="78">
        <v>750000</v>
      </c>
      <c r="X22" s="79">
        <v>0</v>
      </c>
      <c r="Y22" s="80">
        <v>180000</v>
      </c>
    </row>
    <row r="23" spans="2:25" x14ac:dyDescent="0.3">
      <c r="B23" s="70"/>
      <c r="C23" s="51">
        <v>20245777731</v>
      </c>
      <c r="D23" s="50" t="s">
        <v>71</v>
      </c>
      <c r="E23" s="52">
        <v>45547</v>
      </c>
      <c r="F23" s="52">
        <v>45911</v>
      </c>
      <c r="G23" s="96">
        <v>20251204052221</v>
      </c>
      <c r="H23" s="53">
        <v>45911</v>
      </c>
      <c r="I23" s="53">
        <v>45995</v>
      </c>
      <c r="J23" s="50" t="s">
        <v>74</v>
      </c>
      <c r="K23" s="50" t="s">
        <v>75</v>
      </c>
      <c r="L23" s="53">
        <v>46002</v>
      </c>
      <c r="M23" s="51">
        <v>0</v>
      </c>
      <c r="N23" s="51">
        <v>1</v>
      </c>
      <c r="O23" s="51">
        <v>1</v>
      </c>
      <c r="P23" s="51" t="s">
        <v>48</v>
      </c>
      <c r="Q23" s="51" t="s">
        <v>14</v>
      </c>
      <c r="R23" s="54" t="s">
        <v>14</v>
      </c>
      <c r="S23" s="78">
        <v>10000000</v>
      </c>
      <c r="T23" s="79">
        <v>0</v>
      </c>
      <c r="U23" s="79">
        <v>1200000</v>
      </c>
      <c r="V23" s="55">
        <v>15</v>
      </c>
      <c r="W23" s="78">
        <v>1500000</v>
      </c>
      <c r="X23" s="79">
        <v>0</v>
      </c>
      <c r="Y23" s="80">
        <v>180000</v>
      </c>
    </row>
    <row r="24" spans="2:25" x14ac:dyDescent="0.3">
      <c r="B24" s="70"/>
      <c r="C24" s="51">
        <v>20246644501</v>
      </c>
      <c r="D24" s="50" t="s">
        <v>76</v>
      </c>
      <c r="E24" s="52">
        <v>45595</v>
      </c>
      <c r="F24" s="52">
        <v>45959</v>
      </c>
      <c r="G24" s="96">
        <v>20250722036787</v>
      </c>
      <c r="H24" s="53">
        <v>45840</v>
      </c>
      <c r="I24" s="53">
        <v>45860</v>
      </c>
      <c r="J24" s="50" t="s">
        <v>77</v>
      </c>
      <c r="K24" s="50" t="s">
        <v>78</v>
      </c>
      <c r="L24" s="53">
        <v>45873</v>
      </c>
      <c r="M24" s="51">
        <v>1</v>
      </c>
      <c r="N24" s="51">
        <v>1</v>
      </c>
      <c r="O24" s="51">
        <v>1</v>
      </c>
      <c r="P24" s="51" t="s">
        <v>48</v>
      </c>
      <c r="Q24" s="51" t="s">
        <v>14</v>
      </c>
      <c r="R24" s="54" t="s">
        <v>14</v>
      </c>
      <c r="S24" s="78">
        <v>5000000</v>
      </c>
      <c r="T24" s="79">
        <v>0</v>
      </c>
      <c r="U24" s="79">
        <v>1000000</v>
      </c>
      <c r="V24" s="55">
        <v>15</v>
      </c>
      <c r="W24" s="78">
        <v>750000</v>
      </c>
      <c r="X24" s="79">
        <v>0</v>
      </c>
      <c r="Y24" s="80">
        <v>150000</v>
      </c>
    </row>
    <row r="25" spans="2:25" x14ac:dyDescent="0.3">
      <c r="B25" s="70"/>
      <c r="C25" s="51">
        <v>20247258308</v>
      </c>
      <c r="D25" s="50" t="s">
        <v>79</v>
      </c>
      <c r="E25" s="52">
        <v>45612</v>
      </c>
      <c r="F25" s="52">
        <v>45976</v>
      </c>
      <c r="G25" s="96">
        <v>20250211009906</v>
      </c>
      <c r="H25" s="53">
        <v>45666</v>
      </c>
      <c r="I25" s="53">
        <v>45698</v>
      </c>
      <c r="J25" s="50" t="s">
        <v>80</v>
      </c>
      <c r="K25" s="50" t="s">
        <v>81</v>
      </c>
      <c r="L25" s="53">
        <v>45964</v>
      </c>
      <c r="M25" s="51">
        <v>5</v>
      </c>
      <c r="N25" s="51">
        <v>1</v>
      </c>
      <c r="O25" s="51">
        <v>1</v>
      </c>
      <c r="P25" s="51" t="s">
        <v>48</v>
      </c>
      <c r="Q25" s="51" t="s">
        <v>14</v>
      </c>
      <c r="R25" s="54" t="s">
        <v>14</v>
      </c>
      <c r="S25" s="78">
        <v>21000000</v>
      </c>
      <c r="T25" s="79">
        <v>1100000</v>
      </c>
      <c r="U25" s="79">
        <v>3000000</v>
      </c>
      <c r="V25" s="55">
        <v>10</v>
      </c>
      <c r="W25" s="78">
        <v>2100000</v>
      </c>
      <c r="X25" s="79">
        <v>110000</v>
      </c>
      <c r="Y25" s="80">
        <v>300000</v>
      </c>
    </row>
    <row r="26" spans="2:25" x14ac:dyDescent="0.3">
      <c r="B26" s="70"/>
      <c r="C26" s="51">
        <v>20247258308</v>
      </c>
      <c r="D26" s="50" t="s">
        <v>79</v>
      </c>
      <c r="E26" s="52">
        <v>45612</v>
      </c>
      <c r="F26" s="52">
        <v>45976</v>
      </c>
      <c r="G26" s="96">
        <v>20250311011959</v>
      </c>
      <c r="H26" s="53">
        <v>45160</v>
      </c>
      <c r="I26" s="53">
        <v>45727</v>
      </c>
      <c r="J26" s="50" t="s">
        <v>82</v>
      </c>
      <c r="K26" s="50" t="s">
        <v>83</v>
      </c>
      <c r="L26" s="53">
        <v>45965</v>
      </c>
      <c r="M26" s="51">
        <v>1</v>
      </c>
      <c r="N26" s="51">
        <v>1</v>
      </c>
      <c r="O26" s="51">
        <v>1</v>
      </c>
      <c r="P26" s="51" t="s">
        <v>48</v>
      </c>
      <c r="Q26" s="51" t="s">
        <v>14</v>
      </c>
      <c r="R26" s="54" t="s">
        <v>14</v>
      </c>
      <c r="S26" s="78">
        <v>1</v>
      </c>
      <c r="T26" s="79">
        <v>0</v>
      </c>
      <c r="U26" s="79">
        <v>2000000</v>
      </c>
      <c r="V26" s="55">
        <v>10</v>
      </c>
      <c r="W26" s="78">
        <v>0.1</v>
      </c>
      <c r="X26" s="79">
        <v>0</v>
      </c>
      <c r="Y26" s="80">
        <v>200000</v>
      </c>
    </row>
    <row r="27" spans="2:25" x14ac:dyDescent="0.3">
      <c r="B27" s="70"/>
      <c r="C27" s="51">
        <v>20247258308</v>
      </c>
      <c r="D27" s="50" t="s">
        <v>79</v>
      </c>
      <c r="E27" s="52">
        <v>45612</v>
      </c>
      <c r="F27" s="52">
        <v>45976</v>
      </c>
      <c r="G27" s="96">
        <v>20250523029688</v>
      </c>
      <c r="H27" s="53">
        <v>45755</v>
      </c>
      <c r="I27" s="53">
        <v>45800</v>
      </c>
      <c r="J27" s="50" t="s">
        <v>84</v>
      </c>
      <c r="K27" s="50" t="s">
        <v>85</v>
      </c>
      <c r="L27" s="53">
        <v>46079</v>
      </c>
      <c r="M27" s="51">
        <v>1</v>
      </c>
      <c r="N27" s="51">
        <v>1</v>
      </c>
      <c r="O27" s="51">
        <v>1</v>
      </c>
      <c r="P27" s="51" t="s">
        <v>48</v>
      </c>
      <c r="Q27" s="51" t="s">
        <v>14</v>
      </c>
      <c r="R27" s="54" t="s">
        <v>14</v>
      </c>
      <c r="S27" s="78">
        <v>70000000</v>
      </c>
      <c r="T27" s="79">
        <v>0</v>
      </c>
      <c r="U27" s="79">
        <v>3000000</v>
      </c>
      <c r="V27" s="55">
        <v>10</v>
      </c>
      <c r="W27" s="78">
        <v>7000000</v>
      </c>
      <c r="X27" s="79">
        <v>0</v>
      </c>
      <c r="Y27" s="80">
        <v>300000</v>
      </c>
    </row>
    <row r="28" spans="2:25" x14ac:dyDescent="0.3">
      <c r="B28" s="70"/>
      <c r="C28" s="51">
        <v>20247258308</v>
      </c>
      <c r="D28" s="50" t="s">
        <v>79</v>
      </c>
      <c r="E28" s="52">
        <v>45612</v>
      </c>
      <c r="F28" s="52">
        <v>45976</v>
      </c>
      <c r="G28" s="96">
        <v>20250616029590</v>
      </c>
      <c r="H28" s="53">
        <v>45223</v>
      </c>
      <c r="I28" s="53">
        <v>45824</v>
      </c>
      <c r="J28" s="50" t="s">
        <v>86</v>
      </c>
      <c r="K28" s="50" t="s">
        <v>62</v>
      </c>
      <c r="L28" s="53">
        <v>45825</v>
      </c>
      <c r="M28" s="51">
        <v>0</v>
      </c>
      <c r="N28" s="51">
        <v>1</v>
      </c>
      <c r="O28" s="51">
        <v>1</v>
      </c>
      <c r="P28" s="51" t="s">
        <v>48</v>
      </c>
      <c r="Q28" s="51" t="s">
        <v>14</v>
      </c>
      <c r="R28" s="54" t="s">
        <v>14</v>
      </c>
      <c r="S28" s="78">
        <v>10000000</v>
      </c>
      <c r="T28" s="79">
        <v>0</v>
      </c>
      <c r="U28" s="79">
        <v>1500000</v>
      </c>
      <c r="V28" s="55">
        <v>10</v>
      </c>
      <c r="W28" s="78">
        <v>1000000</v>
      </c>
      <c r="X28" s="79">
        <v>0</v>
      </c>
      <c r="Y28" s="80">
        <v>150000</v>
      </c>
    </row>
    <row r="29" spans="2:25" x14ac:dyDescent="0.3">
      <c r="B29" s="70"/>
      <c r="C29" s="51">
        <v>20247258308</v>
      </c>
      <c r="D29" s="50" t="s">
        <v>79</v>
      </c>
      <c r="E29" s="52">
        <v>45612</v>
      </c>
      <c r="F29" s="52">
        <v>45976</v>
      </c>
      <c r="G29" s="96">
        <v>20250626024039</v>
      </c>
      <c r="H29" s="53">
        <v>45821</v>
      </c>
      <c r="I29" s="53">
        <v>45834</v>
      </c>
      <c r="J29" s="50" t="s">
        <v>87</v>
      </c>
      <c r="K29" s="50" t="s">
        <v>88</v>
      </c>
      <c r="L29" s="53">
        <v>45957</v>
      </c>
      <c r="M29" s="51">
        <v>2</v>
      </c>
      <c r="N29" s="51">
        <v>1</v>
      </c>
      <c r="O29" s="51">
        <v>1</v>
      </c>
      <c r="P29" s="51" t="s">
        <v>48</v>
      </c>
      <c r="Q29" s="51" t="s">
        <v>14</v>
      </c>
      <c r="R29" s="54" t="s">
        <v>14</v>
      </c>
      <c r="S29" s="78">
        <v>1</v>
      </c>
      <c r="T29" s="79">
        <v>0</v>
      </c>
      <c r="U29" s="79">
        <v>2000000</v>
      </c>
      <c r="V29" s="55">
        <v>10</v>
      </c>
      <c r="W29" s="78">
        <v>0.1</v>
      </c>
      <c r="X29" s="79">
        <v>0</v>
      </c>
      <c r="Y29" s="80">
        <v>200000</v>
      </c>
    </row>
    <row r="30" spans="2:25" x14ac:dyDescent="0.3">
      <c r="B30" s="70"/>
      <c r="C30" s="51">
        <v>20247258308</v>
      </c>
      <c r="D30" s="50" t="s">
        <v>79</v>
      </c>
      <c r="E30" s="52">
        <v>45612</v>
      </c>
      <c r="F30" s="52">
        <v>45976</v>
      </c>
      <c r="G30" s="96">
        <v>20250826012868</v>
      </c>
      <c r="H30" s="53">
        <v>45860</v>
      </c>
      <c r="I30" s="53">
        <v>45895</v>
      </c>
      <c r="J30" s="50" t="s">
        <v>89</v>
      </c>
      <c r="K30" s="50" t="s">
        <v>90</v>
      </c>
      <c r="L30" s="53">
        <v>45895</v>
      </c>
      <c r="M30" s="51">
        <v>0</v>
      </c>
      <c r="N30" s="51">
        <v>1</v>
      </c>
      <c r="O30" s="51">
        <v>1</v>
      </c>
      <c r="P30" s="51" t="s">
        <v>48</v>
      </c>
      <c r="Q30" s="51" t="s">
        <v>14</v>
      </c>
      <c r="R30" s="54" t="s">
        <v>14</v>
      </c>
      <c r="S30" s="78">
        <v>10000000</v>
      </c>
      <c r="T30" s="79">
        <v>0</v>
      </c>
      <c r="U30" s="79">
        <v>1500000</v>
      </c>
      <c r="V30" s="55">
        <v>10</v>
      </c>
      <c r="W30" s="78">
        <v>1000000</v>
      </c>
      <c r="X30" s="79">
        <v>0</v>
      </c>
      <c r="Y30" s="80">
        <v>150000</v>
      </c>
    </row>
    <row r="31" spans="2:25" x14ac:dyDescent="0.3">
      <c r="B31" s="70"/>
      <c r="C31" s="51">
        <v>20247258308</v>
      </c>
      <c r="D31" s="50" t="s">
        <v>79</v>
      </c>
      <c r="E31" s="52">
        <v>45612</v>
      </c>
      <c r="F31" s="52">
        <v>45976</v>
      </c>
      <c r="G31" s="96">
        <v>20250929044269</v>
      </c>
      <c r="H31" s="53">
        <v>45506</v>
      </c>
      <c r="I31" s="53">
        <v>45929</v>
      </c>
      <c r="J31" s="50" t="s">
        <v>91</v>
      </c>
      <c r="K31" s="50" t="s">
        <v>92</v>
      </c>
      <c r="L31" s="53">
        <v>45930</v>
      </c>
      <c r="M31" s="51">
        <v>0</v>
      </c>
      <c r="N31" s="51">
        <v>1</v>
      </c>
      <c r="O31" s="51">
        <v>1</v>
      </c>
      <c r="P31" s="51" t="s">
        <v>48</v>
      </c>
      <c r="Q31" s="51" t="s">
        <v>14</v>
      </c>
      <c r="R31" s="54" t="s">
        <v>14</v>
      </c>
      <c r="S31" s="78">
        <v>5000000</v>
      </c>
      <c r="T31" s="79">
        <v>0</v>
      </c>
      <c r="U31" s="79">
        <v>1000000</v>
      </c>
      <c r="V31" s="55">
        <v>10</v>
      </c>
      <c r="W31" s="78">
        <v>500000</v>
      </c>
      <c r="X31" s="79">
        <v>0</v>
      </c>
      <c r="Y31" s="80">
        <v>100000</v>
      </c>
    </row>
    <row r="32" spans="2:25" x14ac:dyDescent="0.3">
      <c r="B32" s="70"/>
      <c r="C32" s="51">
        <v>20247258308</v>
      </c>
      <c r="D32" s="50" t="s">
        <v>79</v>
      </c>
      <c r="E32" s="52">
        <v>45612</v>
      </c>
      <c r="F32" s="52">
        <v>45976</v>
      </c>
      <c r="G32" s="96">
        <v>20251103027742</v>
      </c>
      <c r="H32" s="53">
        <v>45693</v>
      </c>
      <c r="I32" s="53">
        <v>45964</v>
      </c>
      <c r="J32" s="50" t="s">
        <v>93</v>
      </c>
      <c r="K32" s="50" t="s">
        <v>94</v>
      </c>
      <c r="L32" s="53">
        <v>46073</v>
      </c>
      <c r="M32" s="51">
        <v>1</v>
      </c>
      <c r="N32" s="51">
        <v>1</v>
      </c>
      <c r="O32" s="51">
        <v>1</v>
      </c>
      <c r="P32" s="51" t="s">
        <v>48</v>
      </c>
      <c r="Q32" s="51" t="s">
        <v>14</v>
      </c>
      <c r="R32" s="54" t="s">
        <v>14</v>
      </c>
      <c r="S32" s="78">
        <v>13000000</v>
      </c>
      <c r="T32" s="79">
        <v>0</v>
      </c>
      <c r="U32" s="79">
        <v>2000000</v>
      </c>
      <c r="V32" s="55">
        <v>10</v>
      </c>
      <c r="W32" s="78">
        <v>1300000</v>
      </c>
      <c r="X32" s="79">
        <v>0</v>
      </c>
      <c r="Y32" s="80">
        <v>200000</v>
      </c>
    </row>
    <row r="33" spans="2:25" x14ac:dyDescent="0.3">
      <c r="B33" s="70"/>
      <c r="C33" s="51">
        <v>20247258308</v>
      </c>
      <c r="D33" s="50" t="s">
        <v>79</v>
      </c>
      <c r="E33" s="52">
        <v>45612</v>
      </c>
      <c r="F33" s="52">
        <v>45976</v>
      </c>
      <c r="G33" s="96">
        <v>20251114027180</v>
      </c>
      <c r="H33" s="53">
        <v>43774</v>
      </c>
      <c r="I33" s="53">
        <v>45975</v>
      </c>
      <c r="J33" s="50" t="s">
        <v>95</v>
      </c>
      <c r="K33" s="50" t="s">
        <v>96</v>
      </c>
      <c r="L33" s="53">
        <v>45975</v>
      </c>
      <c r="M33" s="51">
        <v>0</v>
      </c>
      <c r="N33" s="51">
        <v>1</v>
      </c>
      <c r="O33" s="51">
        <v>1</v>
      </c>
      <c r="P33" s="51" t="s">
        <v>48</v>
      </c>
      <c r="Q33" s="51" t="s">
        <v>14</v>
      </c>
      <c r="R33" s="54" t="s">
        <v>14</v>
      </c>
      <c r="S33" s="78">
        <v>5000000</v>
      </c>
      <c r="T33" s="79">
        <v>0</v>
      </c>
      <c r="U33" s="79">
        <v>2000000</v>
      </c>
      <c r="V33" s="55">
        <v>10</v>
      </c>
      <c r="W33" s="78">
        <v>500000</v>
      </c>
      <c r="X33" s="79">
        <v>0</v>
      </c>
      <c r="Y33" s="80">
        <v>200000</v>
      </c>
    </row>
    <row r="34" spans="2:25" x14ac:dyDescent="0.3">
      <c r="B34" s="70"/>
      <c r="C34" s="51">
        <v>20247597123</v>
      </c>
      <c r="D34" s="50" t="s">
        <v>97</v>
      </c>
      <c r="E34" s="52">
        <v>45626</v>
      </c>
      <c r="F34" s="52">
        <v>45991</v>
      </c>
      <c r="G34" s="96">
        <v>20250717022846</v>
      </c>
      <c r="H34" s="53">
        <v>45813</v>
      </c>
      <c r="I34" s="53">
        <v>45847</v>
      </c>
      <c r="J34" s="50" t="s">
        <v>98</v>
      </c>
      <c r="K34" s="50" t="s">
        <v>99</v>
      </c>
      <c r="L34" s="53">
        <v>45924</v>
      </c>
      <c r="M34" s="51">
        <v>1</v>
      </c>
      <c r="N34" s="51">
        <v>1</v>
      </c>
      <c r="O34" s="51">
        <v>1</v>
      </c>
      <c r="P34" s="51" t="s">
        <v>48</v>
      </c>
      <c r="Q34" s="51" t="s">
        <v>14</v>
      </c>
      <c r="R34" s="54" t="s">
        <v>14</v>
      </c>
      <c r="S34" s="78">
        <v>20000000</v>
      </c>
      <c r="T34" s="79">
        <v>0</v>
      </c>
      <c r="U34" s="79">
        <v>1200000</v>
      </c>
      <c r="V34" s="55">
        <v>5</v>
      </c>
      <c r="W34" s="78">
        <v>1000000</v>
      </c>
      <c r="X34" s="79">
        <v>0</v>
      </c>
      <c r="Y34" s="80">
        <v>60000</v>
      </c>
    </row>
    <row r="35" spans="2:25" x14ac:dyDescent="0.3">
      <c r="B35" s="70"/>
      <c r="C35" s="51">
        <v>20247597123</v>
      </c>
      <c r="D35" s="50" t="s">
        <v>97</v>
      </c>
      <c r="E35" s="52">
        <v>45626</v>
      </c>
      <c r="F35" s="52">
        <v>45991</v>
      </c>
      <c r="G35" s="96">
        <v>20250729011927</v>
      </c>
      <c r="H35" s="53">
        <v>45701</v>
      </c>
      <c r="I35" s="53">
        <v>45866</v>
      </c>
      <c r="J35" s="50" t="s">
        <v>100</v>
      </c>
      <c r="K35" s="50" t="s">
        <v>101</v>
      </c>
      <c r="L35" s="53">
        <v>45887</v>
      </c>
      <c r="M35" s="51">
        <v>2</v>
      </c>
      <c r="N35" s="51">
        <v>1</v>
      </c>
      <c r="O35" s="51">
        <v>1</v>
      </c>
      <c r="P35" s="51" t="s">
        <v>48</v>
      </c>
      <c r="Q35" s="51" t="s">
        <v>14</v>
      </c>
      <c r="R35" s="54" t="s">
        <v>14</v>
      </c>
      <c r="S35" s="78">
        <v>5000000</v>
      </c>
      <c r="T35" s="79">
        <v>800000</v>
      </c>
      <c r="U35" s="79">
        <v>600000</v>
      </c>
      <c r="V35" s="55">
        <v>5</v>
      </c>
      <c r="W35" s="78">
        <v>250000</v>
      </c>
      <c r="X35" s="79">
        <v>40000</v>
      </c>
      <c r="Y35" s="80">
        <v>30000</v>
      </c>
    </row>
    <row r="36" spans="2:25" x14ac:dyDescent="0.3">
      <c r="B36" s="70"/>
      <c r="C36" s="51">
        <v>20247597123</v>
      </c>
      <c r="D36" s="50" t="s">
        <v>97</v>
      </c>
      <c r="E36" s="52">
        <v>45626</v>
      </c>
      <c r="F36" s="52">
        <v>45991</v>
      </c>
      <c r="G36" s="96">
        <v>20250813029273</v>
      </c>
      <c r="H36" s="53">
        <v>45626</v>
      </c>
      <c r="I36" s="53">
        <v>45882</v>
      </c>
      <c r="J36" s="50" t="s">
        <v>102</v>
      </c>
      <c r="K36" s="50" t="s">
        <v>103</v>
      </c>
      <c r="L36" s="53">
        <v>45952</v>
      </c>
      <c r="M36" s="51">
        <v>2</v>
      </c>
      <c r="N36" s="51">
        <v>1</v>
      </c>
      <c r="O36" s="51">
        <v>1</v>
      </c>
      <c r="P36" s="51" t="s">
        <v>48</v>
      </c>
      <c r="Q36" s="51" t="s">
        <v>14</v>
      </c>
      <c r="R36" s="54" t="s">
        <v>14</v>
      </c>
      <c r="S36" s="78">
        <v>20000000</v>
      </c>
      <c r="T36" s="79">
        <v>0</v>
      </c>
      <c r="U36" s="79">
        <v>2500000</v>
      </c>
      <c r="V36" s="55">
        <v>5</v>
      </c>
      <c r="W36" s="78">
        <v>1000000</v>
      </c>
      <c r="X36" s="79">
        <v>0</v>
      </c>
      <c r="Y36" s="80">
        <v>125000</v>
      </c>
    </row>
    <row r="37" spans="2:25" x14ac:dyDescent="0.3">
      <c r="B37" s="70"/>
      <c r="C37" s="51">
        <v>20247597123</v>
      </c>
      <c r="D37" s="50" t="s">
        <v>97</v>
      </c>
      <c r="E37" s="52">
        <v>45626</v>
      </c>
      <c r="F37" s="52">
        <v>45991</v>
      </c>
      <c r="G37" s="96">
        <v>20250911035753</v>
      </c>
      <c r="H37" s="53">
        <v>45726</v>
      </c>
      <c r="I37" s="53">
        <v>45911</v>
      </c>
      <c r="J37" s="50" t="s">
        <v>104</v>
      </c>
      <c r="K37" s="50" t="s">
        <v>105</v>
      </c>
      <c r="L37" s="53">
        <v>45924</v>
      </c>
      <c r="M37" s="51">
        <v>1</v>
      </c>
      <c r="N37" s="51">
        <v>1</v>
      </c>
      <c r="O37" s="51">
        <v>1</v>
      </c>
      <c r="P37" s="51" t="s">
        <v>48</v>
      </c>
      <c r="Q37" s="51" t="s">
        <v>14</v>
      </c>
      <c r="R37" s="54" t="s">
        <v>14</v>
      </c>
      <c r="S37" s="78">
        <v>69612807</v>
      </c>
      <c r="T37" s="79">
        <v>3000000</v>
      </c>
      <c r="U37" s="79">
        <v>600000</v>
      </c>
      <c r="V37" s="55">
        <v>5</v>
      </c>
      <c r="W37" s="78">
        <v>3480640</v>
      </c>
      <c r="X37" s="79">
        <v>150000</v>
      </c>
      <c r="Y37" s="80">
        <v>30000</v>
      </c>
    </row>
    <row r="38" spans="2:25" x14ac:dyDescent="0.3">
      <c r="B38" s="70"/>
      <c r="C38" s="51">
        <v>20247597123</v>
      </c>
      <c r="D38" s="50" t="s">
        <v>97</v>
      </c>
      <c r="E38" s="52">
        <v>45626</v>
      </c>
      <c r="F38" s="52">
        <v>45991</v>
      </c>
      <c r="G38" s="96">
        <v>20250930015788</v>
      </c>
      <c r="H38" s="53">
        <v>45513</v>
      </c>
      <c r="I38" s="53">
        <v>45923</v>
      </c>
      <c r="J38" s="50" t="s">
        <v>106</v>
      </c>
      <c r="K38" s="50" t="s">
        <v>107</v>
      </c>
      <c r="L38" s="53">
        <v>45930</v>
      </c>
      <c r="M38" s="51">
        <v>0</v>
      </c>
      <c r="N38" s="51">
        <v>1</v>
      </c>
      <c r="O38" s="51">
        <v>1</v>
      </c>
      <c r="P38" s="51" t="s">
        <v>48</v>
      </c>
      <c r="Q38" s="51" t="s">
        <v>14</v>
      </c>
      <c r="R38" s="54" t="s">
        <v>14</v>
      </c>
      <c r="S38" s="78">
        <v>10000000</v>
      </c>
      <c r="T38" s="79">
        <v>0</v>
      </c>
      <c r="U38" s="79">
        <v>700000</v>
      </c>
      <c r="V38" s="55">
        <v>5</v>
      </c>
      <c r="W38" s="78">
        <v>500000</v>
      </c>
      <c r="X38" s="79">
        <v>0</v>
      </c>
      <c r="Y38" s="80">
        <v>35000</v>
      </c>
    </row>
    <row r="39" spans="2:25" x14ac:dyDescent="0.3">
      <c r="B39" s="70"/>
      <c r="C39" s="51">
        <v>20247870855</v>
      </c>
      <c r="D39" s="50" t="s">
        <v>108</v>
      </c>
      <c r="E39" s="52">
        <v>45634</v>
      </c>
      <c r="F39" s="52">
        <v>45999</v>
      </c>
      <c r="G39" s="96">
        <v>20250312013725</v>
      </c>
      <c r="H39" s="53">
        <v>45721</v>
      </c>
      <c r="I39" s="53">
        <v>45728</v>
      </c>
      <c r="J39" s="50" t="s">
        <v>109</v>
      </c>
      <c r="K39" s="50" t="s">
        <v>62</v>
      </c>
      <c r="L39" s="53">
        <v>45917</v>
      </c>
      <c r="M39" s="51">
        <v>1</v>
      </c>
      <c r="N39" s="51">
        <v>1</v>
      </c>
      <c r="O39" s="51">
        <v>1</v>
      </c>
      <c r="P39" s="51" t="s">
        <v>48</v>
      </c>
      <c r="Q39" s="51" t="s">
        <v>14</v>
      </c>
      <c r="R39" s="54" t="s">
        <v>14</v>
      </c>
      <c r="S39" s="78">
        <v>15000000</v>
      </c>
      <c r="T39" s="79">
        <v>0</v>
      </c>
      <c r="U39" s="79">
        <v>800000</v>
      </c>
      <c r="V39" s="55">
        <v>15</v>
      </c>
      <c r="W39" s="78">
        <v>2250000</v>
      </c>
      <c r="X39" s="79">
        <v>0</v>
      </c>
      <c r="Y39" s="80">
        <v>120000</v>
      </c>
    </row>
    <row r="40" spans="2:25" x14ac:dyDescent="0.3">
      <c r="B40" s="70"/>
      <c r="C40" s="51">
        <v>20247911998</v>
      </c>
      <c r="D40" s="50" t="s">
        <v>110</v>
      </c>
      <c r="E40" s="52">
        <v>45641</v>
      </c>
      <c r="F40" s="52">
        <v>46005</v>
      </c>
      <c r="G40" s="96">
        <v>20251002025143</v>
      </c>
      <c r="H40" s="53">
        <v>45869</v>
      </c>
      <c r="I40" s="53">
        <v>45932</v>
      </c>
      <c r="J40" s="50" t="s">
        <v>111</v>
      </c>
      <c r="K40" s="50" t="s">
        <v>112</v>
      </c>
      <c r="L40" s="53">
        <v>45944</v>
      </c>
      <c r="M40" s="51">
        <v>0</v>
      </c>
      <c r="N40" s="51">
        <v>1</v>
      </c>
      <c r="O40" s="51">
        <v>1</v>
      </c>
      <c r="P40" s="51" t="s">
        <v>48</v>
      </c>
      <c r="Q40" s="51" t="s">
        <v>14</v>
      </c>
      <c r="R40" s="54" t="s">
        <v>14</v>
      </c>
      <c r="S40" s="78">
        <v>10000000</v>
      </c>
      <c r="T40" s="79">
        <v>0</v>
      </c>
      <c r="U40" s="79">
        <v>1500000</v>
      </c>
      <c r="V40" s="55">
        <v>15</v>
      </c>
      <c r="W40" s="78">
        <v>1500000</v>
      </c>
      <c r="X40" s="79">
        <v>0</v>
      </c>
      <c r="Y40" s="80">
        <v>225000</v>
      </c>
    </row>
    <row r="41" spans="2:25" x14ac:dyDescent="0.3">
      <c r="B41" s="70"/>
      <c r="C41" s="51">
        <v>20250455423</v>
      </c>
      <c r="D41" s="50" t="s">
        <v>52</v>
      </c>
      <c r="E41" s="52">
        <v>45677</v>
      </c>
      <c r="F41" s="52">
        <v>46041</v>
      </c>
      <c r="G41" s="96">
        <v>20250327013277</v>
      </c>
      <c r="H41" s="53">
        <v>45376</v>
      </c>
      <c r="I41" s="53">
        <v>45707</v>
      </c>
      <c r="J41" s="50" t="s">
        <v>113</v>
      </c>
      <c r="K41" s="50" t="s">
        <v>114</v>
      </c>
      <c r="L41" s="53">
        <v>46063</v>
      </c>
      <c r="M41" s="51">
        <v>4</v>
      </c>
      <c r="N41" s="51">
        <v>1</v>
      </c>
      <c r="O41" s="51">
        <v>1</v>
      </c>
      <c r="P41" s="51" t="s">
        <v>48</v>
      </c>
      <c r="Q41" s="51" t="s">
        <v>14</v>
      </c>
      <c r="R41" s="54" t="s">
        <v>14</v>
      </c>
      <c r="S41" s="78">
        <v>100000000</v>
      </c>
      <c r="T41" s="79">
        <v>500000</v>
      </c>
      <c r="U41" s="79">
        <v>1000000</v>
      </c>
      <c r="V41" s="55">
        <v>5</v>
      </c>
      <c r="W41" s="78">
        <v>5000000</v>
      </c>
      <c r="X41" s="79">
        <v>25000</v>
      </c>
      <c r="Y41" s="80">
        <v>50000</v>
      </c>
    </row>
    <row r="42" spans="2:25" x14ac:dyDescent="0.3">
      <c r="B42" s="70"/>
      <c r="C42" s="51">
        <v>20250455423</v>
      </c>
      <c r="D42" s="50" t="s">
        <v>52</v>
      </c>
      <c r="E42" s="52">
        <v>45677</v>
      </c>
      <c r="F42" s="52">
        <v>46041</v>
      </c>
      <c r="G42" s="96">
        <v>20250610012974</v>
      </c>
      <c r="H42" s="53">
        <v>45652</v>
      </c>
      <c r="I42" s="53">
        <v>45818</v>
      </c>
      <c r="J42" s="50" t="s">
        <v>115</v>
      </c>
      <c r="K42" s="50" t="s">
        <v>116</v>
      </c>
      <c r="L42" s="53">
        <v>46052</v>
      </c>
      <c r="M42" s="51">
        <v>0</v>
      </c>
      <c r="N42" s="51">
        <v>1</v>
      </c>
      <c r="O42" s="51">
        <v>1</v>
      </c>
      <c r="P42" s="51" t="s">
        <v>48</v>
      </c>
      <c r="Q42" s="51" t="s">
        <v>14</v>
      </c>
      <c r="R42" s="54" t="s">
        <v>14</v>
      </c>
      <c r="S42" s="78">
        <v>50000000</v>
      </c>
      <c r="T42" s="79">
        <v>0</v>
      </c>
      <c r="U42" s="79">
        <v>3000000</v>
      </c>
      <c r="V42" s="55">
        <v>5</v>
      </c>
      <c r="W42" s="78">
        <v>2500000</v>
      </c>
      <c r="X42" s="79">
        <v>0</v>
      </c>
      <c r="Y42" s="80">
        <v>150000</v>
      </c>
    </row>
    <row r="43" spans="2:25" x14ac:dyDescent="0.3">
      <c r="B43" s="70"/>
      <c r="C43" s="51">
        <v>20250772411</v>
      </c>
      <c r="D43" s="50" t="s">
        <v>117</v>
      </c>
      <c r="E43" s="52">
        <v>45691</v>
      </c>
      <c r="F43" s="52">
        <v>46056</v>
      </c>
      <c r="G43" s="96">
        <v>20250826030049</v>
      </c>
      <c r="H43" s="53">
        <v>45775</v>
      </c>
      <c r="I43" s="53">
        <v>45895</v>
      </c>
      <c r="J43" s="50" t="s">
        <v>118</v>
      </c>
      <c r="K43" s="50" t="s">
        <v>119</v>
      </c>
      <c r="L43" s="53">
        <v>46017</v>
      </c>
      <c r="M43" s="51">
        <v>2</v>
      </c>
      <c r="N43" s="51">
        <v>1</v>
      </c>
      <c r="O43" s="51">
        <v>1</v>
      </c>
      <c r="P43" s="51" t="s">
        <v>48</v>
      </c>
      <c r="Q43" s="51" t="s">
        <v>14</v>
      </c>
      <c r="R43" s="54" t="s">
        <v>14</v>
      </c>
      <c r="S43" s="78">
        <v>10079000</v>
      </c>
      <c r="T43" s="79">
        <v>0</v>
      </c>
      <c r="U43" s="79">
        <v>1500000</v>
      </c>
      <c r="V43" s="55">
        <v>15</v>
      </c>
      <c r="W43" s="78">
        <v>1511850</v>
      </c>
      <c r="X43" s="79">
        <v>0</v>
      </c>
      <c r="Y43" s="80">
        <v>225000</v>
      </c>
    </row>
    <row r="44" spans="2:25" x14ac:dyDescent="0.3">
      <c r="B44" s="70"/>
      <c r="C44" s="51">
        <v>20250772411</v>
      </c>
      <c r="D44" s="50" t="s">
        <v>117</v>
      </c>
      <c r="E44" s="52">
        <v>45691</v>
      </c>
      <c r="F44" s="52">
        <v>46056</v>
      </c>
      <c r="G44" s="96">
        <v>20250904009659</v>
      </c>
      <c r="H44" s="53">
        <v>45848</v>
      </c>
      <c r="I44" s="53">
        <v>45904</v>
      </c>
      <c r="J44" s="50" t="s">
        <v>120</v>
      </c>
      <c r="K44" s="50" t="s">
        <v>121</v>
      </c>
      <c r="L44" s="53">
        <v>45930</v>
      </c>
      <c r="M44" s="51">
        <v>1</v>
      </c>
      <c r="N44" s="51">
        <v>1</v>
      </c>
      <c r="O44" s="51">
        <v>1</v>
      </c>
      <c r="P44" s="51" t="s">
        <v>48</v>
      </c>
      <c r="Q44" s="51" t="s">
        <v>14</v>
      </c>
      <c r="R44" s="54" t="s">
        <v>14</v>
      </c>
      <c r="S44" s="78">
        <v>1</v>
      </c>
      <c r="T44" s="79">
        <v>0</v>
      </c>
      <c r="U44" s="79">
        <v>1000000</v>
      </c>
      <c r="V44" s="55">
        <v>15</v>
      </c>
      <c r="W44" s="78">
        <v>0.15</v>
      </c>
      <c r="X44" s="79">
        <v>0</v>
      </c>
      <c r="Y44" s="80">
        <v>150000</v>
      </c>
    </row>
    <row r="45" spans="2:25" x14ac:dyDescent="0.3">
      <c r="B45" s="70"/>
      <c r="C45" s="51">
        <v>20250772411</v>
      </c>
      <c r="D45" s="50" t="s">
        <v>117</v>
      </c>
      <c r="E45" s="52">
        <v>45691</v>
      </c>
      <c r="F45" s="52">
        <v>46056</v>
      </c>
      <c r="G45" s="96">
        <v>20251216025231</v>
      </c>
      <c r="H45" s="53">
        <v>45948</v>
      </c>
      <c r="I45" s="53">
        <v>46007</v>
      </c>
      <c r="J45" s="50" t="s">
        <v>122</v>
      </c>
      <c r="K45" s="50" t="s">
        <v>123</v>
      </c>
      <c r="L45" s="53">
        <v>46008</v>
      </c>
      <c r="M45" s="51">
        <v>0</v>
      </c>
      <c r="N45" s="51">
        <v>1</v>
      </c>
      <c r="O45" s="51">
        <v>1</v>
      </c>
      <c r="P45" s="51" t="s">
        <v>48</v>
      </c>
      <c r="Q45" s="51" t="s">
        <v>14</v>
      </c>
      <c r="R45" s="54" t="s">
        <v>14</v>
      </c>
      <c r="S45" s="78">
        <v>5000000</v>
      </c>
      <c r="T45" s="79">
        <v>0</v>
      </c>
      <c r="U45" s="79">
        <v>1200000</v>
      </c>
      <c r="V45" s="55">
        <v>15</v>
      </c>
      <c r="W45" s="78">
        <v>750000</v>
      </c>
      <c r="X45" s="79">
        <v>0</v>
      </c>
      <c r="Y45" s="80">
        <v>180000</v>
      </c>
    </row>
    <row r="46" spans="2:25" x14ac:dyDescent="0.3">
      <c r="B46" s="70"/>
      <c r="C46" s="51">
        <v>20250772411</v>
      </c>
      <c r="D46" s="50" t="s">
        <v>117</v>
      </c>
      <c r="E46" s="52">
        <v>45691</v>
      </c>
      <c r="F46" s="52">
        <v>46056</v>
      </c>
      <c r="G46" s="96">
        <v>20251222043618</v>
      </c>
      <c r="H46" s="53">
        <v>45903</v>
      </c>
      <c r="I46" s="53">
        <v>46013</v>
      </c>
      <c r="J46" s="50" t="s">
        <v>124</v>
      </c>
      <c r="K46" s="50" t="s">
        <v>125</v>
      </c>
      <c r="L46" s="53">
        <v>46015</v>
      </c>
      <c r="M46" s="51">
        <v>0</v>
      </c>
      <c r="N46" s="51">
        <v>1</v>
      </c>
      <c r="O46" s="51">
        <v>1</v>
      </c>
      <c r="P46" s="51" t="s">
        <v>48</v>
      </c>
      <c r="Q46" s="51" t="s">
        <v>14</v>
      </c>
      <c r="R46" s="54" t="s">
        <v>14</v>
      </c>
      <c r="S46" s="78">
        <v>5000000</v>
      </c>
      <c r="T46" s="79">
        <v>0</v>
      </c>
      <c r="U46" s="79">
        <v>1200000</v>
      </c>
      <c r="V46" s="55">
        <v>15</v>
      </c>
      <c r="W46" s="78">
        <v>750000</v>
      </c>
      <c r="X46" s="79">
        <v>0</v>
      </c>
      <c r="Y46" s="80">
        <v>180000</v>
      </c>
    </row>
    <row r="47" spans="2:25" x14ac:dyDescent="0.3">
      <c r="B47" s="70"/>
      <c r="C47" s="51">
        <v>20250800597</v>
      </c>
      <c r="D47" s="50" t="s">
        <v>126</v>
      </c>
      <c r="E47" s="52">
        <v>45697</v>
      </c>
      <c r="F47" s="52">
        <v>46062</v>
      </c>
      <c r="G47" s="96">
        <v>20250321014514</v>
      </c>
      <c r="H47" s="53">
        <v>45725</v>
      </c>
      <c r="I47" s="53">
        <v>45737</v>
      </c>
      <c r="J47" s="50" t="s">
        <v>127</v>
      </c>
      <c r="K47" s="50" t="s">
        <v>128</v>
      </c>
      <c r="L47" s="53">
        <v>45747</v>
      </c>
      <c r="M47" s="51">
        <v>0</v>
      </c>
      <c r="N47" s="51">
        <v>1</v>
      </c>
      <c r="O47" s="51">
        <v>1</v>
      </c>
      <c r="P47" s="51" t="s">
        <v>48</v>
      </c>
      <c r="Q47" s="51" t="s">
        <v>14</v>
      </c>
      <c r="R47" s="54" t="s">
        <v>14</v>
      </c>
      <c r="S47" s="78">
        <v>5000000</v>
      </c>
      <c r="T47" s="79">
        <v>0</v>
      </c>
      <c r="U47" s="79">
        <v>700000</v>
      </c>
      <c r="V47" s="55">
        <v>3</v>
      </c>
      <c r="W47" s="78">
        <v>150000</v>
      </c>
      <c r="X47" s="79">
        <v>0</v>
      </c>
      <c r="Y47" s="80">
        <v>21000</v>
      </c>
    </row>
    <row r="48" spans="2:25" x14ac:dyDescent="0.3">
      <c r="B48" s="70"/>
      <c r="C48" s="51">
        <v>20250953622</v>
      </c>
      <c r="D48" s="50" t="s">
        <v>55</v>
      </c>
      <c r="E48" s="52">
        <v>45705</v>
      </c>
      <c r="F48" s="52">
        <v>46069</v>
      </c>
      <c r="G48" s="96">
        <v>20250515033603</v>
      </c>
      <c r="H48" s="53">
        <v>45791</v>
      </c>
      <c r="I48" s="53">
        <v>45792</v>
      </c>
      <c r="J48" s="50" t="s">
        <v>129</v>
      </c>
      <c r="K48" s="50" t="s">
        <v>130</v>
      </c>
      <c r="L48" s="53">
        <v>45834</v>
      </c>
      <c r="M48" s="51">
        <v>2</v>
      </c>
      <c r="N48" s="51">
        <v>1</v>
      </c>
      <c r="O48" s="51">
        <v>1</v>
      </c>
      <c r="P48" s="51" t="s">
        <v>48</v>
      </c>
      <c r="Q48" s="51" t="s">
        <v>14</v>
      </c>
      <c r="R48" s="54" t="s">
        <v>14</v>
      </c>
      <c r="S48" s="78">
        <v>1</v>
      </c>
      <c r="T48" s="79">
        <v>0</v>
      </c>
      <c r="U48" s="79">
        <v>1200000</v>
      </c>
      <c r="V48" s="55">
        <v>5</v>
      </c>
      <c r="W48" s="78">
        <v>0.05</v>
      </c>
      <c r="X48" s="79">
        <v>0</v>
      </c>
      <c r="Y48" s="80">
        <v>60000</v>
      </c>
    </row>
    <row r="49" spans="2:25" x14ac:dyDescent="0.3">
      <c r="B49" s="70"/>
      <c r="C49" s="51">
        <v>20250953622</v>
      </c>
      <c r="D49" s="50" t="s">
        <v>55</v>
      </c>
      <c r="E49" s="52">
        <v>45705</v>
      </c>
      <c r="F49" s="52">
        <v>46069</v>
      </c>
      <c r="G49" s="96">
        <v>20250624031819</v>
      </c>
      <c r="H49" s="53">
        <v>45825</v>
      </c>
      <c r="I49" s="53">
        <v>45832</v>
      </c>
      <c r="J49" s="50" t="s">
        <v>131</v>
      </c>
      <c r="K49" s="50" t="s">
        <v>132</v>
      </c>
      <c r="L49" s="53">
        <v>45961</v>
      </c>
      <c r="M49" s="51">
        <v>4</v>
      </c>
      <c r="N49" s="51">
        <v>1</v>
      </c>
      <c r="O49" s="51">
        <v>1</v>
      </c>
      <c r="P49" s="51" t="s">
        <v>48</v>
      </c>
      <c r="Q49" s="51" t="s">
        <v>14</v>
      </c>
      <c r="R49" s="54" t="s">
        <v>14</v>
      </c>
      <c r="S49" s="78">
        <v>11150000</v>
      </c>
      <c r="T49" s="79">
        <v>0</v>
      </c>
      <c r="U49" s="79">
        <v>600000</v>
      </c>
      <c r="V49" s="55">
        <v>5</v>
      </c>
      <c r="W49" s="78">
        <v>557500</v>
      </c>
      <c r="X49" s="79">
        <v>0</v>
      </c>
      <c r="Y49" s="80">
        <v>30000</v>
      </c>
    </row>
    <row r="50" spans="2:25" x14ac:dyDescent="0.3">
      <c r="B50" s="70"/>
      <c r="C50" s="51">
        <v>20250953622</v>
      </c>
      <c r="D50" s="50" t="s">
        <v>55</v>
      </c>
      <c r="E50" s="52">
        <v>45705</v>
      </c>
      <c r="F50" s="52">
        <v>46069</v>
      </c>
      <c r="G50" s="96">
        <v>20250728045807</v>
      </c>
      <c r="H50" s="53">
        <v>45798</v>
      </c>
      <c r="I50" s="53">
        <v>45798</v>
      </c>
      <c r="J50" s="50" t="s">
        <v>133</v>
      </c>
      <c r="K50" s="50" t="s">
        <v>134</v>
      </c>
      <c r="L50" s="53">
        <v>45888</v>
      </c>
      <c r="M50" s="51">
        <v>3</v>
      </c>
      <c r="N50" s="51">
        <v>1</v>
      </c>
      <c r="O50" s="51">
        <v>1</v>
      </c>
      <c r="P50" s="51" t="s">
        <v>48</v>
      </c>
      <c r="Q50" s="51" t="s">
        <v>14</v>
      </c>
      <c r="R50" s="54" t="s">
        <v>14</v>
      </c>
      <c r="S50" s="78">
        <v>13814147</v>
      </c>
      <c r="T50" s="79">
        <v>1700000</v>
      </c>
      <c r="U50" s="79">
        <v>800000</v>
      </c>
      <c r="V50" s="55">
        <v>5</v>
      </c>
      <c r="W50" s="78">
        <v>690707</v>
      </c>
      <c r="X50" s="79">
        <v>85000</v>
      </c>
      <c r="Y50" s="80">
        <v>40000</v>
      </c>
    </row>
    <row r="51" spans="2:25" x14ac:dyDescent="0.3">
      <c r="B51" s="70"/>
      <c r="C51" s="51">
        <v>20250953622</v>
      </c>
      <c r="D51" s="50" t="s">
        <v>55</v>
      </c>
      <c r="E51" s="52">
        <v>45705</v>
      </c>
      <c r="F51" s="52">
        <v>46069</v>
      </c>
      <c r="G51" s="96">
        <v>20251002023853</v>
      </c>
      <c r="H51" s="53">
        <v>43929</v>
      </c>
      <c r="I51" s="53">
        <v>45847</v>
      </c>
      <c r="J51" s="50" t="s">
        <v>135</v>
      </c>
      <c r="K51" s="50" t="s">
        <v>136</v>
      </c>
      <c r="L51" s="53">
        <v>45961</v>
      </c>
      <c r="M51" s="51">
        <v>2</v>
      </c>
      <c r="N51" s="51">
        <v>1</v>
      </c>
      <c r="O51" s="51">
        <v>1</v>
      </c>
      <c r="P51" s="51" t="s">
        <v>48</v>
      </c>
      <c r="Q51" s="51" t="s">
        <v>14</v>
      </c>
      <c r="R51" s="54" t="s">
        <v>14</v>
      </c>
      <c r="S51" s="78">
        <v>10000000</v>
      </c>
      <c r="T51" s="79">
        <v>0</v>
      </c>
      <c r="U51" s="79">
        <v>600000</v>
      </c>
      <c r="V51" s="55">
        <v>5</v>
      </c>
      <c r="W51" s="78">
        <v>500000</v>
      </c>
      <c r="X51" s="79">
        <v>0</v>
      </c>
      <c r="Y51" s="80">
        <v>30000</v>
      </c>
    </row>
    <row r="52" spans="2:25" x14ac:dyDescent="0.3">
      <c r="B52" s="70"/>
      <c r="C52" s="51">
        <v>20251218394</v>
      </c>
      <c r="D52" s="50" t="s">
        <v>137</v>
      </c>
      <c r="E52" s="52">
        <v>45713</v>
      </c>
      <c r="F52" s="52">
        <v>46077</v>
      </c>
      <c r="G52" s="96">
        <v>20260128041502</v>
      </c>
      <c r="H52" s="53">
        <v>45981</v>
      </c>
      <c r="I52" s="53">
        <v>46050</v>
      </c>
      <c r="J52" s="50" t="s">
        <v>138</v>
      </c>
      <c r="K52" s="50" t="s">
        <v>139</v>
      </c>
      <c r="L52" s="53">
        <v>46050</v>
      </c>
      <c r="M52" s="51">
        <v>0</v>
      </c>
      <c r="N52" s="51">
        <v>1</v>
      </c>
      <c r="O52" s="51">
        <v>1</v>
      </c>
      <c r="P52" s="51" t="s">
        <v>48</v>
      </c>
      <c r="Q52" s="51" t="s">
        <v>14</v>
      </c>
      <c r="R52" s="54" t="s">
        <v>14</v>
      </c>
      <c r="S52" s="78">
        <v>20000000</v>
      </c>
      <c r="T52" s="79">
        <v>0</v>
      </c>
      <c r="U52" s="79">
        <v>2000000</v>
      </c>
      <c r="V52" s="55">
        <v>1</v>
      </c>
      <c r="W52" s="78">
        <v>200000</v>
      </c>
      <c r="X52" s="79">
        <v>0</v>
      </c>
      <c r="Y52" s="80">
        <v>20000</v>
      </c>
    </row>
    <row r="53" spans="2:25" x14ac:dyDescent="0.3">
      <c r="B53" s="70"/>
      <c r="C53" s="51">
        <v>20251567926</v>
      </c>
      <c r="D53" s="50" t="s">
        <v>140</v>
      </c>
      <c r="E53" s="52">
        <v>45728</v>
      </c>
      <c r="F53" s="52">
        <v>46093</v>
      </c>
      <c r="G53" s="96">
        <v>20250716012293</v>
      </c>
      <c r="H53" s="53">
        <v>45833</v>
      </c>
      <c r="I53" s="53">
        <v>45853</v>
      </c>
      <c r="J53" s="50" t="s">
        <v>141</v>
      </c>
      <c r="K53" s="50" t="s">
        <v>142</v>
      </c>
      <c r="L53" s="53">
        <v>45855</v>
      </c>
      <c r="M53" s="51">
        <v>0</v>
      </c>
      <c r="N53" s="51">
        <v>1</v>
      </c>
      <c r="O53" s="51">
        <v>1</v>
      </c>
      <c r="P53" s="51" t="s">
        <v>48</v>
      </c>
      <c r="Q53" s="51" t="s">
        <v>14</v>
      </c>
      <c r="R53" s="54" t="s">
        <v>14</v>
      </c>
      <c r="S53" s="78">
        <v>10000000</v>
      </c>
      <c r="T53" s="79">
        <v>0</v>
      </c>
      <c r="U53" s="79">
        <v>1000000</v>
      </c>
      <c r="V53" s="55">
        <v>6</v>
      </c>
      <c r="W53" s="78">
        <v>600000</v>
      </c>
      <c r="X53" s="79">
        <v>0</v>
      </c>
      <c r="Y53" s="80">
        <v>60000</v>
      </c>
    </row>
    <row r="54" spans="2:25" x14ac:dyDescent="0.3">
      <c r="B54" s="70"/>
      <c r="C54" s="51">
        <v>20251767988</v>
      </c>
      <c r="D54" s="50" t="s">
        <v>143</v>
      </c>
      <c r="E54" s="52">
        <v>45737</v>
      </c>
      <c r="F54" s="52">
        <v>46101</v>
      </c>
      <c r="G54" s="96">
        <v>20251219040840</v>
      </c>
      <c r="H54" s="53">
        <v>45943</v>
      </c>
      <c r="I54" s="53">
        <v>46010</v>
      </c>
      <c r="J54" s="50" t="s">
        <v>144</v>
      </c>
      <c r="K54" s="50" t="s">
        <v>145</v>
      </c>
      <c r="L54" s="53">
        <v>46015</v>
      </c>
      <c r="M54" s="51">
        <v>0</v>
      </c>
      <c r="N54" s="51">
        <v>1</v>
      </c>
      <c r="O54" s="51">
        <v>1</v>
      </c>
      <c r="P54" s="51" t="s">
        <v>48</v>
      </c>
      <c r="Q54" s="51" t="s">
        <v>14</v>
      </c>
      <c r="R54" s="54" t="s">
        <v>14</v>
      </c>
      <c r="S54" s="78">
        <v>10000000</v>
      </c>
      <c r="T54" s="79">
        <v>0</v>
      </c>
      <c r="U54" s="79">
        <v>1000000</v>
      </c>
      <c r="V54" s="55">
        <v>10</v>
      </c>
      <c r="W54" s="78">
        <v>1000000</v>
      </c>
      <c r="X54" s="79">
        <v>0</v>
      </c>
      <c r="Y54" s="80">
        <v>100000</v>
      </c>
    </row>
    <row r="55" spans="2:25" x14ac:dyDescent="0.3">
      <c r="B55" s="70"/>
      <c r="C55" s="51">
        <v>20252841572</v>
      </c>
      <c r="D55" s="50" t="s">
        <v>146</v>
      </c>
      <c r="E55" s="52">
        <v>45769</v>
      </c>
      <c r="F55" s="52">
        <v>46134</v>
      </c>
      <c r="G55" s="96">
        <v>20250821029437</v>
      </c>
      <c r="H55" s="53">
        <v>45771</v>
      </c>
      <c r="I55" s="53">
        <v>45890</v>
      </c>
      <c r="J55" s="50" t="s">
        <v>147</v>
      </c>
      <c r="K55" s="50" t="s">
        <v>148</v>
      </c>
      <c r="L55" s="53">
        <v>45898</v>
      </c>
      <c r="M55" s="51">
        <v>0</v>
      </c>
      <c r="N55" s="51">
        <v>1</v>
      </c>
      <c r="O55" s="51">
        <v>1</v>
      </c>
      <c r="P55" s="51" t="s">
        <v>48</v>
      </c>
      <c r="Q55" s="51" t="s">
        <v>14</v>
      </c>
      <c r="R55" s="54" t="s">
        <v>14</v>
      </c>
      <c r="S55" s="78">
        <v>10000000</v>
      </c>
      <c r="T55" s="79">
        <v>0</v>
      </c>
      <c r="U55" s="79">
        <v>1200000</v>
      </c>
      <c r="V55" s="55">
        <v>3</v>
      </c>
      <c r="W55" s="78">
        <v>300000</v>
      </c>
      <c r="X55" s="79">
        <v>0</v>
      </c>
      <c r="Y55" s="80">
        <v>36000</v>
      </c>
    </row>
    <row r="56" spans="2:25" x14ac:dyDescent="0.3">
      <c r="B56" s="70"/>
      <c r="C56" s="51">
        <v>20252841572</v>
      </c>
      <c r="D56" s="50" t="s">
        <v>146</v>
      </c>
      <c r="E56" s="52">
        <v>45769</v>
      </c>
      <c r="F56" s="52">
        <v>46134</v>
      </c>
      <c r="G56" s="96">
        <v>20260120042616</v>
      </c>
      <c r="H56" s="53">
        <v>45855</v>
      </c>
      <c r="I56" s="53">
        <v>46042</v>
      </c>
      <c r="J56" s="50" t="s">
        <v>149</v>
      </c>
      <c r="K56" s="50" t="s">
        <v>150</v>
      </c>
      <c r="L56" s="53">
        <v>46043</v>
      </c>
      <c r="M56" s="51">
        <v>0</v>
      </c>
      <c r="N56" s="51">
        <v>1</v>
      </c>
      <c r="O56" s="51">
        <v>1</v>
      </c>
      <c r="P56" s="51" t="s">
        <v>48</v>
      </c>
      <c r="Q56" s="51" t="s">
        <v>14</v>
      </c>
      <c r="R56" s="54" t="s">
        <v>14</v>
      </c>
      <c r="S56" s="78">
        <v>10000000</v>
      </c>
      <c r="T56" s="79">
        <v>0</v>
      </c>
      <c r="U56" s="79">
        <v>1000000</v>
      </c>
      <c r="V56" s="55">
        <v>3</v>
      </c>
      <c r="W56" s="78">
        <v>300000</v>
      </c>
      <c r="X56" s="79">
        <v>0</v>
      </c>
      <c r="Y56" s="80">
        <v>30000</v>
      </c>
    </row>
    <row r="57" spans="2:25" x14ac:dyDescent="0.3">
      <c r="B57" s="70"/>
      <c r="C57" s="51">
        <v>20253143622</v>
      </c>
      <c r="D57" s="50" t="s">
        <v>151</v>
      </c>
      <c r="E57" s="52">
        <v>45784</v>
      </c>
      <c r="F57" s="52">
        <v>46148</v>
      </c>
      <c r="G57" s="96">
        <v>20251107030492</v>
      </c>
      <c r="H57" s="53">
        <v>45948</v>
      </c>
      <c r="I57" s="53">
        <v>45968</v>
      </c>
      <c r="J57" s="50" t="s">
        <v>152</v>
      </c>
      <c r="K57" s="50" t="s">
        <v>62</v>
      </c>
      <c r="L57" s="53">
        <v>45982</v>
      </c>
      <c r="M57" s="51">
        <v>1</v>
      </c>
      <c r="N57" s="51">
        <v>1</v>
      </c>
      <c r="O57" s="51">
        <v>1</v>
      </c>
      <c r="P57" s="51" t="s">
        <v>48</v>
      </c>
      <c r="Q57" s="51" t="s">
        <v>14</v>
      </c>
      <c r="R57" s="54" t="s">
        <v>14</v>
      </c>
      <c r="S57" s="78">
        <v>5000000</v>
      </c>
      <c r="T57" s="79">
        <v>0</v>
      </c>
      <c r="U57" s="79">
        <v>1200000</v>
      </c>
      <c r="V57" s="55">
        <v>5</v>
      </c>
      <c r="W57" s="78">
        <v>250000</v>
      </c>
      <c r="X57" s="79">
        <v>0</v>
      </c>
      <c r="Y57" s="80">
        <v>60000</v>
      </c>
    </row>
    <row r="58" spans="2:25" x14ac:dyDescent="0.3">
      <c r="B58" s="70"/>
      <c r="C58" s="51">
        <v>20253143622</v>
      </c>
      <c r="D58" s="50" t="s">
        <v>151</v>
      </c>
      <c r="E58" s="52">
        <v>45784</v>
      </c>
      <c r="F58" s="52">
        <v>46148</v>
      </c>
      <c r="G58" s="96">
        <v>20251215039914</v>
      </c>
      <c r="H58" s="53">
        <v>45793</v>
      </c>
      <c r="I58" s="53">
        <v>46006</v>
      </c>
      <c r="J58" s="50" t="s">
        <v>153</v>
      </c>
      <c r="K58" s="50" t="s">
        <v>154</v>
      </c>
      <c r="L58" s="53">
        <v>46013</v>
      </c>
      <c r="M58" s="51">
        <v>1</v>
      </c>
      <c r="N58" s="51">
        <v>1</v>
      </c>
      <c r="O58" s="51">
        <v>1</v>
      </c>
      <c r="P58" s="51" t="s">
        <v>48</v>
      </c>
      <c r="Q58" s="51" t="s">
        <v>14</v>
      </c>
      <c r="R58" s="54" t="s">
        <v>14</v>
      </c>
      <c r="S58" s="78">
        <v>5000000</v>
      </c>
      <c r="T58" s="79">
        <v>0</v>
      </c>
      <c r="U58" s="79">
        <v>1300000</v>
      </c>
      <c r="V58" s="55">
        <v>5</v>
      </c>
      <c r="W58" s="78">
        <v>250000</v>
      </c>
      <c r="X58" s="79">
        <v>0</v>
      </c>
      <c r="Y58" s="80">
        <v>65000</v>
      </c>
    </row>
    <row r="59" spans="2:25" x14ac:dyDescent="0.3">
      <c r="B59" s="70"/>
      <c r="C59" s="51">
        <v>20254221542</v>
      </c>
      <c r="D59" s="50" t="s">
        <v>155</v>
      </c>
      <c r="E59" s="52">
        <v>45837</v>
      </c>
      <c r="F59" s="52">
        <v>46201</v>
      </c>
      <c r="G59" s="96">
        <v>20251203007920</v>
      </c>
      <c r="H59" s="53">
        <v>45993</v>
      </c>
      <c r="I59" s="53">
        <v>45994</v>
      </c>
      <c r="J59" s="50" t="s">
        <v>156</v>
      </c>
      <c r="K59" s="50" t="s">
        <v>62</v>
      </c>
      <c r="L59" s="53">
        <v>45994</v>
      </c>
      <c r="M59" s="51">
        <v>0</v>
      </c>
      <c r="N59" s="51">
        <v>1</v>
      </c>
      <c r="O59" s="51">
        <v>1</v>
      </c>
      <c r="P59" s="51" t="s">
        <v>48</v>
      </c>
      <c r="Q59" s="51" t="s">
        <v>14</v>
      </c>
      <c r="R59" s="54" t="s">
        <v>14</v>
      </c>
      <c r="S59" s="78">
        <v>10000000</v>
      </c>
      <c r="T59" s="79">
        <v>0</v>
      </c>
      <c r="U59" s="79">
        <v>1200000</v>
      </c>
      <c r="V59" s="55">
        <v>5</v>
      </c>
      <c r="W59" s="78">
        <v>500000</v>
      </c>
      <c r="X59" s="79">
        <v>0</v>
      </c>
      <c r="Y59" s="80">
        <v>60000</v>
      </c>
    </row>
    <row r="60" spans="2:25" x14ac:dyDescent="0.3">
      <c r="B60" s="70"/>
      <c r="C60" s="51">
        <v>20254232907</v>
      </c>
      <c r="D60" s="50" t="s">
        <v>157</v>
      </c>
      <c r="E60" s="52">
        <v>45838</v>
      </c>
      <c r="F60" s="52">
        <v>46202</v>
      </c>
      <c r="G60" s="96">
        <v>20260114029958</v>
      </c>
      <c r="H60" s="53">
        <v>46034</v>
      </c>
      <c r="I60" s="53">
        <v>46036</v>
      </c>
      <c r="J60" s="50" t="s">
        <v>158</v>
      </c>
      <c r="K60" s="50" t="s">
        <v>159</v>
      </c>
      <c r="L60" s="53">
        <v>46036</v>
      </c>
      <c r="M60" s="51">
        <v>0</v>
      </c>
      <c r="N60" s="51">
        <v>1</v>
      </c>
      <c r="O60" s="51">
        <v>1</v>
      </c>
      <c r="P60" s="51" t="s">
        <v>48</v>
      </c>
      <c r="Q60" s="51" t="s">
        <v>14</v>
      </c>
      <c r="R60" s="54" t="s">
        <v>14</v>
      </c>
      <c r="S60" s="78">
        <v>5000000</v>
      </c>
      <c r="T60" s="79">
        <v>0</v>
      </c>
      <c r="U60" s="79">
        <v>1000000</v>
      </c>
      <c r="V60" s="55">
        <v>15</v>
      </c>
      <c r="W60" s="78">
        <v>750000</v>
      </c>
      <c r="X60" s="79">
        <v>0</v>
      </c>
      <c r="Y60" s="80">
        <v>150000</v>
      </c>
    </row>
    <row r="61" spans="2:25" x14ac:dyDescent="0.3">
      <c r="B61" s="70"/>
      <c r="C61" s="51">
        <v>20254903741</v>
      </c>
      <c r="D61" s="50" t="s">
        <v>65</v>
      </c>
      <c r="E61" s="52">
        <v>45863</v>
      </c>
      <c r="F61" s="52">
        <v>46228</v>
      </c>
      <c r="G61" s="96">
        <v>20251014008542</v>
      </c>
      <c r="H61" s="53">
        <v>45909</v>
      </c>
      <c r="I61" s="53">
        <v>45944</v>
      </c>
      <c r="J61" s="50" t="s">
        <v>160</v>
      </c>
      <c r="K61" s="50" t="s">
        <v>123</v>
      </c>
      <c r="L61" s="53">
        <v>45945</v>
      </c>
      <c r="M61" s="51">
        <v>0</v>
      </c>
      <c r="N61" s="51">
        <v>1</v>
      </c>
      <c r="O61" s="51">
        <v>1</v>
      </c>
      <c r="P61" s="51" t="s">
        <v>48</v>
      </c>
      <c r="Q61" s="51" t="s">
        <v>14</v>
      </c>
      <c r="R61" s="54" t="s">
        <v>14</v>
      </c>
      <c r="S61" s="78">
        <v>10000000</v>
      </c>
      <c r="T61" s="79">
        <v>0</v>
      </c>
      <c r="U61" s="79">
        <v>600000</v>
      </c>
      <c r="V61" s="55">
        <v>14</v>
      </c>
      <c r="W61" s="78">
        <v>1400000</v>
      </c>
      <c r="X61" s="79">
        <v>0</v>
      </c>
      <c r="Y61" s="80">
        <v>84000</v>
      </c>
    </row>
    <row r="62" spans="2:25" x14ac:dyDescent="0.3">
      <c r="B62" s="70"/>
      <c r="C62" s="51">
        <v>20255430466</v>
      </c>
      <c r="D62" s="50" t="s">
        <v>161</v>
      </c>
      <c r="E62" s="52">
        <v>45887</v>
      </c>
      <c r="F62" s="52">
        <v>46251</v>
      </c>
      <c r="G62" s="96">
        <v>20251104008625</v>
      </c>
      <c r="H62" s="53">
        <v>45901</v>
      </c>
      <c r="I62" s="53">
        <v>45901</v>
      </c>
      <c r="J62" s="50" t="s">
        <v>162</v>
      </c>
      <c r="K62" s="50" t="s">
        <v>62</v>
      </c>
      <c r="L62" s="53">
        <v>45965</v>
      </c>
      <c r="M62" s="51">
        <v>0</v>
      </c>
      <c r="N62" s="51">
        <v>1</v>
      </c>
      <c r="O62" s="51">
        <v>1</v>
      </c>
      <c r="P62" s="51" t="s">
        <v>48</v>
      </c>
      <c r="Q62" s="51" t="s">
        <v>14</v>
      </c>
      <c r="R62" s="54" t="s">
        <v>14</v>
      </c>
      <c r="S62" s="78">
        <v>10000000</v>
      </c>
      <c r="T62" s="79">
        <v>0</v>
      </c>
      <c r="U62" s="79">
        <v>1000000</v>
      </c>
      <c r="V62" s="55">
        <v>5</v>
      </c>
      <c r="W62" s="78">
        <v>500000</v>
      </c>
      <c r="X62" s="79">
        <v>0</v>
      </c>
      <c r="Y62" s="80">
        <v>50000</v>
      </c>
    </row>
    <row r="63" spans="2:25" x14ac:dyDescent="0.3">
      <c r="B63" s="70"/>
      <c r="C63" s="51">
        <v>20257592903</v>
      </c>
      <c r="D63" s="50" t="s">
        <v>79</v>
      </c>
      <c r="E63" s="52">
        <v>45977</v>
      </c>
      <c r="F63" s="52">
        <v>46341</v>
      </c>
      <c r="G63" s="96">
        <v>20260107043499</v>
      </c>
      <c r="H63" s="53">
        <v>46000</v>
      </c>
      <c r="I63" s="53">
        <v>46029</v>
      </c>
      <c r="J63" s="50" t="s">
        <v>163</v>
      </c>
      <c r="K63" s="50" t="s">
        <v>164</v>
      </c>
      <c r="L63" s="53">
        <v>46029</v>
      </c>
      <c r="M63" s="51">
        <v>0</v>
      </c>
      <c r="N63" s="51">
        <v>1</v>
      </c>
      <c r="O63" s="51">
        <v>1</v>
      </c>
      <c r="P63" s="51" t="s">
        <v>48</v>
      </c>
      <c r="Q63" s="51" t="s">
        <v>14</v>
      </c>
      <c r="R63" s="54" t="s">
        <v>14</v>
      </c>
      <c r="S63" s="78">
        <v>10000000</v>
      </c>
      <c r="T63" s="79">
        <v>0</v>
      </c>
      <c r="U63" s="79">
        <v>2000000</v>
      </c>
      <c r="V63" s="55">
        <v>20</v>
      </c>
      <c r="W63" s="78">
        <v>2000000</v>
      </c>
      <c r="X63" s="79">
        <v>0</v>
      </c>
      <c r="Y63" s="80">
        <v>400000</v>
      </c>
    </row>
    <row r="64" spans="2:25" x14ac:dyDescent="0.3">
      <c r="B64" s="70"/>
      <c r="C64" s="51">
        <v>20257592903</v>
      </c>
      <c r="D64" s="50" t="s">
        <v>79</v>
      </c>
      <c r="E64" s="52">
        <v>45977</v>
      </c>
      <c r="F64" s="52">
        <v>46341</v>
      </c>
      <c r="G64" s="96">
        <v>20260108042949</v>
      </c>
      <c r="H64" s="53">
        <v>46027</v>
      </c>
      <c r="I64" s="53">
        <v>46030</v>
      </c>
      <c r="J64" s="50" t="s">
        <v>165</v>
      </c>
      <c r="K64" s="50" t="s">
        <v>166</v>
      </c>
      <c r="L64" s="53">
        <v>46031</v>
      </c>
      <c r="M64" s="51">
        <v>0</v>
      </c>
      <c r="N64" s="51">
        <v>1</v>
      </c>
      <c r="O64" s="51">
        <v>1</v>
      </c>
      <c r="P64" s="51" t="s">
        <v>48</v>
      </c>
      <c r="Q64" s="51" t="s">
        <v>14</v>
      </c>
      <c r="R64" s="54" t="s">
        <v>14</v>
      </c>
      <c r="S64" s="78">
        <v>10000000</v>
      </c>
      <c r="T64" s="79">
        <v>0</v>
      </c>
      <c r="U64" s="79">
        <v>1200000</v>
      </c>
      <c r="V64" s="55">
        <v>20</v>
      </c>
      <c r="W64" s="78">
        <v>2000000</v>
      </c>
      <c r="X64" s="79">
        <v>0</v>
      </c>
      <c r="Y64" s="80">
        <v>240000</v>
      </c>
    </row>
    <row r="65" spans="2:27" x14ac:dyDescent="0.3">
      <c r="B65" s="70"/>
      <c r="C65" s="51">
        <v>20257592903</v>
      </c>
      <c r="D65" s="50" t="s">
        <v>79</v>
      </c>
      <c r="E65" s="52">
        <v>45977</v>
      </c>
      <c r="F65" s="52">
        <v>46341</v>
      </c>
      <c r="G65" s="96">
        <v>20260122043338</v>
      </c>
      <c r="H65" s="53">
        <v>46036</v>
      </c>
      <c r="I65" s="53">
        <v>46044</v>
      </c>
      <c r="J65" s="50" t="s">
        <v>167</v>
      </c>
      <c r="K65" s="50" t="s">
        <v>168</v>
      </c>
      <c r="L65" s="53">
        <v>46044</v>
      </c>
      <c r="M65" s="51">
        <v>0</v>
      </c>
      <c r="N65" s="51">
        <v>1</v>
      </c>
      <c r="O65" s="51">
        <v>1</v>
      </c>
      <c r="P65" s="51" t="s">
        <v>48</v>
      </c>
      <c r="Q65" s="51" t="s">
        <v>14</v>
      </c>
      <c r="R65" s="54" t="s">
        <v>14</v>
      </c>
      <c r="S65" s="78">
        <v>10000000</v>
      </c>
      <c r="T65" s="79">
        <v>0</v>
      </c>
      <c r="U65" s="79">
        <v>1200000</v>
      </c>
      <c r="V65" s="55">
        <v>20</v>
      </c>
      <c r="W65" s="78">
        <v>2000000</v>
      </c>
      <c r="X65" s="79">
        <v>0</v>
      </c>
      <c r="Y65" s="80">
        <v>240000</v>
      </c>
    </row>
    <row r="66" spans="2:27" x14ac:dyDescent="0.3">
      <c r="B66" s="70"/>
      <c r="C66" s="51">
        <v>20258501329</v>
      </c>
      <c r="D66" s="50" t="s">
        <v>110</v>
      </c>
      <c r="E66" s="52">
        <v>46006</v>
      </c>
      <c r="F66" s="52">
        <v>46370</v>
      </c>
      <c r="G66" s="96">
        <v>20260105040479</v>
      </c>
      <c r="H66" s="53">
        <v>46013</v>
      </c>
      <c r="I66" s="53">
        <v>46027</v>
      </c>
      <c r="J66" s="50" t="s">
        <v>169</v>
      </c>
      <c r="K66" s="50" t="s">
        <v>170</v>
      </c>
      <c r="L66" s="53">
        <v>46028</v>
      </c>
      <c r="M66" s="51">
        <v>0</v>
      </c>
      <c r="N66" s="51">
        <v>1</v>
      </c>
      <c r="O66" s="51">
        <v>1</v>
      </c>
      <c r="P66" s="51" t="s">
        <v>48</v>
      </c>
      <c r="Q66" s="51" t="s">
        <v>14</v>
      </c>
      <c r="R66" s="54" t="s">
        <v>14</v>
      </c>
      <c r="S66" s="78">
        <v>10000000</v>
      </c>
      <c r="T66" s="79">
        <v>0</v>
      </c>
      <c r="U66" s="79">
        <v>1000000</v>
      </c>
      <c r="V66" s="55">
        <v>20</v>
      </c>
      <c r="W66" s="78">
        <v>2000000</v>
      </c>
      <c r="X66" s="79">
        <v>0</v>
      </c>
      <c r="Y66" s="80">
        <v>200000</v>
      </c>
    </row>
    <row r="67" spans="2:27" x14ac:dyDescent="0.3">
      <c r="B67" s="70" t="s">
        <v>171</v>
      </c>
      <c r="C67" s="51">
        <v>20203172650</v>
      </c>
      <c r="D67" s="50" t="s">
        <v>172</v>
      </c>
      <c r="E67" s="52">
        <v>44013</v>
      </c>
      <c r="F67" s="52">
        <v>44712</v>
      </c>
      <c r="G67" s="96">
        <v>20210712010068</v>
      </c>
      <c r="H67" s="53">
        <v>44388</v>
      </c>
      <c r="I67" s="53" t="s">
        <v>173</v>
      </c>
      <c r="J67" s="50" t="s">
        <v>174</v>
      </c>
      <c r="K67" s="50" t="s">
        <v>175</v>
      </c>
      <c r="L67" s="53">
        <v>44860</v>
      </c>
      <c r="M67" s="51">
        <v>12</v>
      </c>
      <c r="N67" s="51">
        <v>1</v>
      </c>
      <c r="O67" s="51">
        <v>1</v>
      </c>
      <c r="P67" s="51" t="s">
        <v>176</v>
      </c>
      <c r="Q67" s="51" t="s">
        <v>14</v>
      </c>
      <c r="R67" s="54" t="s">
        <v>14</v>
      </c>
      <c r="S67" s="78">
        <v>4050000</v>
      </c>
      <c r="T67" s="79">
        <v>0</v>
      </c>
      <c r="U67" s="79">
        <v>1749530</v>
      </c>
      <c r="V67" s="55">
        <v>50</v>
      </c>
      <c r="W67" s="78">
        <v>2025000</v>
      </c>
      <c r="X67" s="79">
        <v>0</v>
      </c>
      <c r="Y67" s="80">
        <v>874765</v>
      </c>
    </row>
    <row r="68" spans="2:27" x14ac:dyDescent="0.3">
      <c r="B68" s="70"/>
      <c r="C68" s="51">
        <v>20243232395</v>
      </c>
      <c r="D68" s="50" t="s">
        <v>177</v>
      </c>
      <c r="E68" s="52">
        <v>45444</v>
      </c>
      <c r="F68" s="52">
        <v>46173</v>
      </c>
      <c r="G68" s="96">
        <v>20251105017896</v>
      </c>
      <c r="H68" s="53">
        <v>45965</v>
      </c>
      <c r="I68" s="53" t="s">
        <v>173</v>
      </c>
      <c r="J68" s="50" t="s">
        <v>178</v>
      </c>
      <c r="K68" s="50" t="s">
        <v>175</v>
      </c>
      <c r="L68" s="53">
        <v>45975</v>
      </c>
      <c r="M68" s="51">
        <v>1</v>
      </c>
      <c r="N68" s="51">
        <v>1</v>
      </c>
      <c r="O68" s="51">
        <v>1</v>
      </c>
      <c r="P68" s="51" t="s">
        <v>176</v>
      </c>
      <c r="Q68" s="51" t="s">
        <v>14</v>
      </c>
      <c r="R68" s="54" t="s">
        <v>14</v>
      </c>
      <c r="S68" s="78">
        <v>100000000</v>
      </c>
      <c r="T68" s="79">
        <v>0</v>
      </c>
      <c r="U68" s="79">
        <v>1000000</v>
      </c>
      <c r="V68" s="55">
        <v>50</v>
      </c>
      <c r="W68" s="78">
        <v>50000000</v>
      </c>
      <c r="X68" s="79">
        <v>0</v>
      </c>
      <c r="Y68" s="80">
        <v>500000</v>
      </c>
    </row>
    <row r="69" spans="2:27" x14ac:dyDescent="0.3">
      <c r="B69" s="70"/>
      <c r="C69" s="51">
        <v>20243232395</v>
      </c>
      <c r="D69" s="50" t="s">
        <v>177</v>
      </c>
      <c r="E69" s="52">
        <v>45444</v>
      </c>
      <c r="F69" s="52">
        <v>46173</v>
      </c>
      <c r="G69" s="96">
        <v>20251204023456</v>
      </c>
      <c r="H69" s="53">
        <v>45976</v>
      </c>
      <c r="I69" s="53" t="s">
        <v>173</v>
      </c>
      <c r="J69" s="50" t="s">
        <v>179</v>
      </c>
      <c r="K69" s="50" t="s">
        <v>180</v>
      </c>
      <c r="L69" s="53">
        <v>45995</v>
      </c>
      <c r="M69" s="51">
        <v>0</v>
      </c>
      <c r="N69" s="51">
        <v>1</v>
      </c>
      <c r="O69" s="51">
        <v>1</v>
      </c>
      <c r="P69" s="51" t="s">
        <v>176</v>
      </c>
      <c r="Q69" s="51" t="s">
        <v>14</v>
      </c>
      <c r="R69" s="54" t="s">
        <v>14</v>
      </c>
      <c r="S69" s="78">
        <v>5000000</v>
      </c>
      <c r="T69" s="79">
        <v>0</v>
      </c>
      <c r="U69" s="79">
        <v>1000000</v>
      </c>
      <c r="V69" s="55">
        <v>50</v>
      </c>
      <c r="W69" s="78">
        <v>2500000</v>
      </c>
      <c r="X69" s="79">
        <v>0</v>
      </c>
      <c r="Y69" s="80">
        <v>500000</v>
      </c>
    </row>
    <row r="70" spans="2:27" x14ac:dyDescent="0.3">
      <c r="B70" s="70"/>
      <c r="C70" s="51">
        <v>20243232395</v>
      </c>
      <c r="D70" s="50" t="s">
        <v>177</v>
      </c>
      <c r="E70" s="52">
        <v>45444</v>
      </c>
      <c r="F70" s="52">
        <v>46173</v>
      </c>
      <c r="G70" s="96">
        <v>20251212023959</v>
      </c>
      <c r="H70" s="53">
        <v>45947</v>
      </c>
      <c r="I70" s="53" t="s">
        <v>173</v>
      </c>
      <c r="J70" s="50" t="s">
        <v>181</v>
      </c>
      <c r="K70" s="50" t="s">
        <v>175</v>
      </c>
      <c r="L70" s="53">
        <v>46021</v>
      </c>
      <c r="M70" s="51">
        <v>2</v>
      </c>
      <c r="N70" s="51">
        <v>1</v>
      </c>
      <c r="O70" s="51">
        <v>1</v>
      </c>
      <c r="P70" s="51" t="s">
        <v>176</v>
      </c>
      <c r="Q70" s="51" t="s">
        <v>14</v>
      </c>
      <c r="R70" s="54" t="s">
        <v>14</v>
      </c>
      <c r="S70" s="78">
        <v>3700000</v>
      </c>
      <c r="T70" s="79">
        <v>0</v>
      </c>
      <c r="U70" s="79">
        <v>600000</v>
      </c>
      <c r="V70" s="55">
        <v>50</v>
      </c>
      <c r="W70" s="78">
        <v>1850000</v>
      </c>
      <c r="X70" s="79">
        <v>0</v>
      </c>
      <c r="Y70" s="80">
        <v>300000</v>
      </c>
    </row>
    <row r="71" spans="2:27" x14ac:dyDescent="0.3">
      <c r="B71" s="70"/>
      <c r="C71" s="51">
        <v>20243232395</v>
      </c>
      <c r="D71" s="50" t="s">
        <v>177</v>
      </c>
      <c r="E71" s="52">
        <v>45444</v>
      </c>
      <c r="F71" s="52">
        <v>46173</v>
      </c>
      <c r="G71" s="96">
        <v>20251219033208</v>
      </c>
      <c r="H71" s="53">
        <v>46000</v>
      </c>
      <c r="I71" s="53" t="s">
        <v>173</v>
      </c>
      <c r="J71" s="50" t="s">
        <v>182</v>
      </c>
      <c r="K71" s="50" t="s">
        <v>175</v>
      </c>
      <c r="L71" s="53">
        <v>46045</v>
      </c>
      <c r="M71" s="51">
        <v>2</v>
      </c>
      <c r="N71" s="51">
        <v>1</v>
      </c>
      <c r="O71" s="51">
        <v>1</v>
      </c>
      <c r="P71" s="51" t="s">
        <v>176</v>
      </c>
      <c r="Q71" s="51" t="s">
        <v>14</v>
      </c>
      <c r="R71" s="54" t="s">
        <v>14</v>
      </c>
      <c r="S71" s="78">
        <v>1290000</v>
      </c>
      <c r="T71" s="79">
        <v>0</v>
      </c>
      <c r="U71" s="79">
        <v>1000000</v>
      </c>
      <c r="V71" s="55">
        <v>50</v>
      </c>
      <c r="W71" s="78">
        <v>645000</v>
      </c>
      <c r="X71" s="79">
        <v>0</v>
      </c>
      <c r="Y71" s="80">
        <v>500000</v>
      </c>
    </row>
    <row r="72" spans="2:27" x14ac:dyDescent="0.3">
      <c r="B72" s="70"/>
      <c r="C72" s="51">
        <v>20243232395</v>
      </c>
      <c r="D72" s="50" t="s">
        <v>177</v>
      </c>
      <c r="E72" s="52">
        <v>45444</v>
      </c>
      <c r="F72" s="52">
        <v>46173</v>
      </c>
      <c r="G72" s="96">
        <v>20251229054807</v>
      </c>
      <c r="H72" s="53">
        <v>46018</v>
      </c>
      <c r="I72" s="53" t="s">
        <v>173</v>
      </c>
      <c r="J72" s="50" t="s">
        <v>183</v>
      </c>
      <c r="K72" s="50" t="s">
        <v>184</v>
      </c>
      <c r="L72" s="53">
        <v>46021</v>
      </c>
      <c r="M72" s="51">
        <v>0</v>
      </c>
      <c r="N72" s="51">
        <v>1</v>
      </c>
      <c r="O72" s="51">
        <v>1</v>
      </c>
      <c r="P72" s="51" t="s">
        <v>176</v>
      </c>
      <c r="Q72" s="51" t="s">
        <v>14</v>
      </c>
      <c r="R72" s="54" t="s">
        <v>14</v>
      </c>
      <c r="S72" s="78">
        <v>3100000</v>
      </c>
      <c r="T72" s="79">
        <v>0</v>
      </c>
      <c r="U72" s="79">
        <v>900000</v>
      </c>
      <c r="V72" s="55">
        <v>50</v>
      </c>
      <c r="W72" s="78">
        <v>1550000</v>
      </c>
      <c r="X72" s="79">
        <v>0</v>
      </c>
      <c r="Y72" s="80">
        <v>450000</v>
      </c>
    </row>
    <row r="73" spans="2:27" x14ac:dyDescent="0.3">
      <c r="B73" s="70"/>
      <c r="C73" s="51">
        <v>20243232395</v>
      </c>
      <c r="D73" s="50" t="s">
        <v>177</v>
      </c>
      <c r="E73" s="52">
        <v>45444</v>
      </c>
      <c r="F73" s="52">
        <v>46173</v>
      </c>
      <c r="G73" s="96">
        <v>20260119012598</v>
      </c>
      <c r="H73" s="53">
        <v>46037</v>
      </c>
      <c r="I73" s="53" t="s">
        <v>173</v>
      </c>
      <c r="J73" s="50" t="s">
        <v>185</v>
      </c>
      <c r="K73" s="50" t="s">
        <v>175</v>
      </c>
      <c r="L73" s="53">
        <v>46041</v>
      </c>
      <c r="M73" s="51">
        <v>0</v>
      </c>
      <c r="N73" s="51">
        <v>1</v>
      </c>
      <c r="O73" s="51">
        <v>1</v>
      </c>
      <c r="P73" s="51" t="s">
        <v>176</v>
      </c>
      <c r="Q73" s="51" t="s">
        <v>14</v>
      </c>
      <c r="R73" s="54" t="s">
        <v>14</v>
      </c>
      <c r="S73" s="78">
        <v>3500000</v>
      </c>
      <c r="T73" s="79">
        <v>0</v>
      </c>
      <c r="U73" s="79">
        <v>1500000</v>
      </c>
      <c r="V73" s="55">
        <v>50</v>
      </c>
      <c r="W73" s="78">
        <v>1750000</v>
      </c>
      <c r="X73" s="79">
        <v>0</v>
      </c>
      <c r="Y73" s="80">
        <v>750000</v>
      </c>
    </row>
    <row r="74" spans="2:27" x14ac:dyDescent="0.3">
      <c r="B74" s="70"/>
      <c r="C74" s="51">
        <v>20243232395</v>
      </c>
      <c r="D74" s="50" t="s">
        <v>177</v>
      </c>
      <c r="E74" s="52">
        <v>45444</v>
      </c>
      <c r="F74" s="52">
        <v>46173</v>
      </c>
      <c r="G74" s="96">
        <v>20260220018942</v>
      </c>
      <c r="H74" s="53">
        <v>46071</v>
      </c>
      <c r="I74" s="53" t="s">
        <v>173</v>
      </c>
      <c r="J74" s="50" t="s">
        <v>186</v>
      </c>
      <c r="K74" s="50" t="s">
        <v>187</v>
      </c>
      <c r="L74" s="53">
        <v>46073</v>
      </c>
      <c r="M74" s="51">
        <v>0</v>
      </c>
      <c r="N74" s="51">
        <v>1</v>
      </c>
      <c r="O74" s="51">
        <v>1</v>
      </c>
      <c r="P74" s="51" t="s">
        <v>176</v>
      </c>
      <c r="Q74" s="51" t="s">
        <v>14</v>
      </c>
      <c r="R74" s="54" t="s">
        <v>14</v>
      </c>
      <c r="S74" s="78">
        <v>3000000</v>
      </c>
      <c r="T74" s="79">
        <v>0</v>
      </c>
      <c r="U74" s="79">
        <v>910000</v>
      </c>
      <c r="V74" s="55">
        <v>50</v>
      </c>
      <c r="W74" s="78">
        <v>1500000</v>
      </c>
      <c r="X74" s="79">
        <v>0</v>
      </c>
      <c r="Y74" s="80">
        <v>455000</v>
      </c>
    </row>
    <row r="75" spans="2:27" x14ac:dyDescent="0.3">
      <c r="B75" s="70" t="s">
        <v>188</v>
      </c>
      <c r="C75" s="51">
        <v>20221410330</v>
      </c>
      <c r="D75" s="50" t="s">
        <v>189</v>
      </c>
      <c r="E75" s="52">
        <v>44645</v>
      </c>
      <c r="F75" s="52">
        <v>45009</v>
      </c>
      <c r="G75" s="96">
        <v>20230525011453</v>
      </c>
      <c r="H75" s="53">
        <v>44932</v>
      </c>
      <c r="I75" s="53">
        <v>44932</v>
      </c>
      <c r="J75" s="50" t="s">
        <v>190</v>
      </c>
      <c r="K75" s="50" t="s">
        <v>62</v>
      </c>
      <c r="L75" s="53">
        <v>45076</v>
      </c>
      <c r="M75" s="51">
        <v>0</v>
      </c>
      <c r="N75" s="51">
        <v>1</v>
      </c>
      <c r="O75" s="51">
        <v>1</v>
      </c>
      <c r="P75" s="51" t="s">
        <v>191</v>
      </c>
      <c r="Q75" s="51" t="s">
        <v>14</v>
      </c>
      <c r="R75" s="54" t="s">
        <v>14</v>
      </c>
      <c r="S75" s="78">
        <v>2000000</v>
      </c>
      <c r="T75" s="79">
        <v>0</v>
      </c>
      <c r="U75" s="79">
        <v>600000</v>
      </c>
      <c r="V75" s="55">
        <v>30</v>
      </c>
      <c r="W75" s="78">
        <v>600000</v>
      </c>
      <c r="X75" s="79">
        <v>0</v>
      </c>
      <c r="Y75" s="80">
        <v>180000</v>
      </c>
    </row>
    <row r="76" spans="2:27" x14ac:dyDescent="0.3">
      <c r="B76" s="70"/>
      <c r="C76" s="51">
        <v>20231649240</v>
      </c>
      <c r="D76" s="50" t="s">
        <v>189</v>
      </c>
      <c r="E76" s="52">
        <v>45010</v>
      </c>
      <c r="F76" s="52">
        <v>45375</v>
      </c>
      <c r="G76" s="96">
        <v>20250905011328</v>
      </c>
      <c r="H76" s="53">
        <v>45188</v>
      </c>
      <c r="I76" s="53">
        <v>45905</v>
      </c>
      <c r="J76" s="50" t="s">
        <v>192</v>
      </c>
      <c r="K76" s="50" t="s">
        <v>193</v>
      </c>
      <c r="L76" s="53">
        <v>45910</v>
      </c>
      <c r="M76" s="51">
        <v>1</v>
      </c>
      <c r="N76" s="51">
        <v>1</v>
      </c>
      <c r="O76" s="51">
        <v>1</v>
      </c>
      <c r="P76" s="51" t="s">
        <v>191</v>
      </c>
      <c r="Q76" s="51" t="s">
        <v>14</v>
      </c>
      <c r="R76" s="54" t="s">
        <v>14</v>
      </c>
      <c r="S76" s="78">
        <v>15000000</v>
      </c>
      <c r="T76" s="79">
        <v>0</v>
      </c>
      <c r="U76" s="79">
        <v>2000000</v>
      </c>
      <c r="V76" s="55">
        <v>30</v>
      </c>
      <c r="W76" s="78">
        <v>4500000</v>
      </c>
      <c r="X76" s="79">
        <v>0</v>
      </c>
      <c r="Y76" s="80">
        <v>600000</v>
      </c>
    </row>
    <row r="77" spans="2:27" x14ac:dyDescent="0.3">
      <c r="B77" s="70"/>
      <c r="C77" s="51">
        <v>20231649240</v>
      </c>
      <c r="D77" s="50" t="s">
        <v>189</v>
      </c>
      <c r="E77" s="52">
        <v>45010</v>
      </c>
      <c r="F77" s="52">
        <v>45375</v>
      </c>
      <c r="G77" s="96">
        <v>20250905011328</v>
      </c>
      <c r="H77" s="53">
        <v>45188</v>
      </c>
      <c r="I77" s="53">
        <v>45905</v>
      </c>
      <c r="J77" s="50" t="s">
        <v>192</v>
      </c>
      <c r="K77" s="50" t="s">
        <v>194</v>
      </c>
      <c r="L77" s="53">
        <v>45910</v>
      </c>
      <c r="M77" s="51">
        <v>0</v>
      </c>
      <c r="N77" s="51">
        <v>1</v>
      </c>
      <c r="O77" s="51">
        <v>1</v>
      </c>
      <c r="P77" s="51" t="s">
        <v>191</v>
      </c>
      <c r="Q77" s="51" t="s">
        <v>14</v>
      </c>
      <c r="R77" s="54" t="s">
        <v>14</v>
      </c>
      <c r="S77" s="78">
        <v>15000000</v>
      </c>
      <c r="T77" s="79">
        <v>0</v>
      </c>
      <c r="U77" s="79">
        <v>2000000</v>
      </c>
      <c r="V77" s="55">
        <v>30</v>
      </c>
      <c r="W77" s="78">
        <v>4500000</v>
      </c>
      <c r="X77" s="79">
        <v>0</v>
      </c>
      <c r="Y77" s="80">
        <v>600000</v>
      </c>
    </row>
    <row r="78" spans="2:27" s="101" customFormat="1" x14ac:dyDescent="0.3">
      <c r="B78" s="102"/>
      <c r="C78" s="103">
        <v>20231986626</v>
      </c>
      <c r="D78" s="104" t="s">
        <v>195</v>
      </c>
      <c r="E78" s="105">
        <v>45023</v>
      </c>
      <c r="F78" s="105">
        <v>45388</v>
      </c>
      <c r="G78" s="106">
        <v>20230707020197</v>
      </c>
      <c r="H78" s="107">
        <v>45107</v>
      </c>
      <c r="I78" s="107">
        <v>45114</v>
      </c>
      <c r="J78" s="50" t="s">
        <v>213</v>
      </c>
      <c r="K78" s="50" t="s">
        <v>214</v>
      </c>
      <c r="L78" s="107">
        <v>45114</v>
      </c>
      <c r="M78" s="103">
        <v>0</v>
      </c>
      <c r="N78" s="103">
        <v>1</v>
      </c>
      <c r="O78" s="103">
        <v>1</v>
      </c>
      <c r="P78" s="103" t="s">
        <v>191</v>
      </c>
      <c r="Q78" s="103" t="s">
        <v>14</v>
      </c>
      <c r="R78" s="108" t="s">
        <v>14</v>
      </c>
      <c r="S78" s="109">
        <v>1000000</v>
      </c>
      <c r="T78" s="110">
        <v>0</v>
      </c>
      <c r="U78" s="110">
        <v>0</v>
      </c>
      <c r="V78" s="111">
        <v>60</v>
      </c>
      <c r="W78" s="109">
        <v>600000</v>
      </c>
      <c r="X78" s="110">
        <v>0</v>
      </c>
      <c r="Y78" s="112">
        <v>0</v>
      </c>
      <c r="Z78" s="113"/>
      <c r="AA78" s="113"/>
    </row>
    <row r="79" spans="2:27" s="101" customFormat="1" x14ac:dyDescent="0.3">
      <c r="B79" s="102"/>
      <c r="C79" s="103">
        <v>20231986626</v>
      </c>
      <c r="D79" s="104" t="s">
        <v>195</v>
      </c>
      <c r="E79" s="105">
        <v>45023</v>
      </c>
      <c r="F79" s="105">
        <v>45388</v>
      </c>
      <c r="G79" s="106">
        <v>20230707020197</v>
      </c>
      <c r="H79" s="107">
        <v>45107</v>
      </c>
      <c r="I79" s="107">
        <v>45114</v>
      </c>
      <c r="J79" s="50" t="s">
        <v>213</v>
      </c>
      <c r="K79" s="50" t="s">
        <v>215</v>
      </c>
      <c r="L79" s="107">
        <v>45114</v>
      </c>
      <c r="M79" s="103">
        <v>0</v>
      </c>
      <c r="N79" s="103">
        <v>1</v>
      </c>
      <c r="O79" s="103">
        <v>1</v>
      </c>
      <c r="P79" s="103" t="s">
        <v>191</v>
      </c>
      <c r="Q79" s="103" t="s">
        <v>14</v>
      </c>
      <c r="R79" s="108" t="s">
        <v>14</v>
      </c>
      <c r="S79" s="109">
        <v>10000000</v>
      </c>
      <c r="T79" s="110">
        <v>0</v>
      </c>
      <c r="U79" s="110">
        <v>1500000</v>
      </c>
      <c r="V79" s="111">
        <v>60</v>
      </c>
      <c r="W79" s="109">
        <v>6000000</v>
      </c>
      <c r="X79" s="110">
        <v>0</v>
      </c>
      <c r="Y79" s="112">
        <v>900000</v>
      </c>
      <c r="Z79" s="113"/>
      <c r="AA79" s="113"/>
    </row>
    <row r="80" spans="2:27" x14ac:dyDescent="0.3">
      <c r="B80" s="70"/>
      <c r="C80" s="51">
        <v>20231986626</v>
      </c>
      <c r="D80" s="50" t="s">
        <v>195</v>
      </c>
      <c r="E80" s="52">
        <v>45023</v>
      </c>
      <c r="F80" s="52">
        <v>45388</v>
      </c>
      <c r="G80" s="96">
        <v>20240130038852</v>
      </c>
      <c r="H80" s="53">
        <v>45315</v>
      </c>
      <c r="I80" s="53">
        <v>45321</v>
      </c>
      <c r="J80" s="50" t="s">
        <v>196</v>
      </c>
      <c r="K80" s="50" t="s">
        <v>197</v>
      </c>
      <c r="L80" s="53">
        <v>45650</v>
      </c>
      <c r="M80" s="51">
        <v>1</v>
      </c>
      <c r="N80" s="51">
        <v>1</v>
      </c>
      <c r="O80" s="51">
        <v>1</v>
      </c>
      <c r="P80" s="51" t="s">
        <v>191</v>
      </c>
      <c r="Q80" s="51" t="s">
        <v>14</v>
      </c>
      <c r="R80" s="54" t="s">
        <v>14</v>
      </c>
      <c r="S80" s="78">
        <v>15226847</v>
      </c>
      <c r="T80" s="79">
        <v>0</v>
      </c>
      <c r="U80" s="79">
        <v>2000000</v>
      </c>
      <c r="V80" s="55">
        <v>60</v>
      </c>
      <c r="W80" s="78">
        <v>9136108</v>
      </c>
      <c r="X80" s="79">
        <v>0</v>
      </c>
      <c r="Y80" s="80">
        <v>1200000</v>
      </c>
    </row>
    <row r="81" spans="1:27" x14ac:dyDescent="0.3">
      <c r="B81" s="70" t="s">
        <v>198</v>
      </c>
      <c r="C81" s="51">
        <v>20240037737</v>
      </c>
      <c r="D81" s="50" t="s">
        <v>199</v>
      </c>
      <c r="E81" s="52">
        <v>45291</v>
      </c>
      <c r="F81" s="52">
        <v>45657</v>
      </c>
      <c r="G81" s="96">
        <v>20260128015646</v>
      </c>
      <c r="H81" s="53">
        <v>45335</v>
      </c>
      <c r="I81" s="53">
        <v>45406</v>
      </c>
      <c r="J81" s="50" t="s">
        <v>200</v>
      </c>
      <c r="K81" s="50" t="s">
        <v>201</v>
      </c>
      <c r="L81" s="53">
        <v>46050</v>
      </c>
      <c r="M81" s="51">
        <v>0</v>
      </c>
      <c r="N81" s="51">
        <v>1</v>
      </c>
      <c r="O81" s="51">
        <v>1</v>
      </c>
      <c r="P81" s="51" t="s">
        <v>202</v>
      </c>
      <c r="Q81" s="51" t="s">
        <v>14</v>
      </c>
      <c r="R81" s="54" t="s">
        <v>14</v>
      </c>
      <c r="S81" s="78">
        <v>11500000</v>
      </c>
      <c r="T81" s="79">
        <v>0</v>
      </c>
      <c r="U81" s="79">
        <v>2000000</v>
      </c>
      <c r="V81" s="55">
        <v>10</v>
      </c>
      <c r="W81" s="78">
        <v>1150000</v>
      </c>
      <c r="X81" s="79">
        <v>0</v>
      </c>
      <c r="Y81" s="80">
        <v>200000</v>
      </c>
    </row>
    <row r="82" spans="1:27" x14ac:dyDescent="0.3">
      <c r="B82" s="70" t="s">
        <v>203</v>
      </c>
      <c r="C82" s="51">
        <v>20232298377</v>
      </c>
      <c r="D82" s="50" t="s">
        <v>204</v>
      </c>
      <c r="E82" s="52">
        <v>45041</v>
      </c>
      <c r="F82" s="52">
        <v>45406</v>
      </c>
      <c r="G82" s="96">
        <v>20231213044172</v>
      </c>
      <c r="H82" s="53">
        <v>45189</v>
      </c>
      <c r="I82" s="53">
        <v>45273</v>
      </c>
      <c r="J82" s="50" t="s">
        <v>205</v>
      </c>
      <c r="K82" s="50" t="s">
        <v>206</v>
      </c>
      <c r="L82" s="53">
        <v>45289</v>
      </c>
      <c r="M82" s="51">
        <v>0</v>
      </c>
      <c r="N82" s="51">
        <v>1</v>
      </c>
      <c r="O82" s="51">
        <v>1</v>
      </c>
      <c r="P82" s="51" t="s">
        <v>207</v>
      </c>
      <c r="Q82" s="51" t="s">
        <v>14</v>
      </c>
      <c r="R82" s="54" t="s">
        <v>14</v>
      </c>
      <c r="S82" s="78">
        <v>10000000</v>
      </c>
      <c r="T82" s="79">
        <v>0</v>
      </c>
      <c r="U82" s="79">
        <v>1000000</v>
      </c>
      <c r="V82" s="55">
        <v>60</v>
      </c>
      <c r="W82" s="78">
        <v>6000000</v>
      </c>
      <c r="X82" s="79">
        <v>0</v>
      </c>
      <c r="Y82" s="80">
        <v>600000</v>
      </c>
    </row>
    <row r="83" spans="1:27" ht="15" thickBot="1" x14ac:dyDescent="0.35">
      <c r="B83" s="70" t="s">
        <v>208</v>
      </c>
      <c r="C83" s="51">
        <v>20251255612</v>
      </c>
      <c r="D83" s="50" t="s">
        <v>209</v>
      </c>
      <c r="E83" s="52">
        <v>45717</v>
      </c>
      <c r="F83" s="52">
        <v>45961</v>
      </c>
      <c r="G83" s="96">
        <v>20250902022398</v>
      </c>
      <c r="H83" s="53">
        <v>45902</v>
      </c>
      <c r="I83" s="53" t="s">
        <v>173</v>
      </c>
      <c r="J83" s="50" t="s">
        <v>210</v>
      </c>
      <c r="K83" s="50" t="s">
        <v>211</v>
      </c>
      <c r="L83" s="53">
        <v>45904</v>
      </c>
      <c r="M83" s="51">
        <v>0</v>
      </c>
      <c r="N83" s="51">
        <v>1</v>
      </c>
      <c r="O83" s="51">
        <v>1</v>
      </c>
      <c r="P83" s="51" t="s">
        <v>212</v>
      </c>
      <c r="Q83" s="51" t="s">
        <v>14</v>
      </c>
      <c r="R83" s="54" t="s">
        <v>14</v>
      </c>
      <c r="S83" s="78">
        <v>3100000</v>
      </c>
      <c r="T83" s="79">
        <v>0</v>
      </c>
      <c r="U83" s="79">
        <v>1000000</v>
      </c>
      <c r="V83" s="55">
        <v>30</v>
      </c>
      <c r="W83" s="78">
        <v>930000</v>
      </c>
      <c r="X83" s="79">
        <v>0</v>
      </c>
      <c r="Y83" s="80">
        <v>300000</v>
      </c>
    </row>
    <row r="84" spans="1:27" ht="15" x14ac:dyDescent="0.3">
      <c r="A84" s="17" t="s">
        <v>11</v>
      </c>
      <c r="B84" s="37"/>
      <c r="C84" s="38"/>
      <c r="D84" s="38"/>
      <c r="E84" s="38"/>
      <c r="F84" s="38"/>
      <c r="G84" s="97"/>
      <c r="H84" s="38"/>
      <c r="I84" s="38"/>
      <c r="J84" s="38"/>
      <c r="K84" s="38"/>
      <c r="L84" s="65"/>
      <c r="M84" s="38"/>
      <c r="N84" s="38"/>
      <c r="O84" s="38"/>
      <c r="P84" s="38"/>
      <c r="Q84" s="31" t="s">
        <v>39</v>
      </c>
      <c r="R84" s="32" t="s">
        <v>14</v>
      </c>
      <c r="S84" s="81">
        <f>SUMIF($Q$13:$Q83,$R84,S$13:S83)</f>
        <v>1030172806</v>
      </c>
      <c r="T84" s="82">
        <f>SUMIF($Q$13:$Q83,$R84,T$13:T83)</f>
        <v>12100000</v>
      </c>
      <c r="U84" s="82">
        <f>SUMIF($R$13:$R83,$R84,U$13:U83)</f>
        <v>94959530</v>
      </c>
      <c r="V84" s="40"/>
      <c r="W84" s="81">
        <f>SUMIF($Q$13:$Q83,$R84,W$13:W83)</f>
        <v>159899705.69999999</v>
      </c>
      <c r="X84" s="82">
        <f>SUMIF($Q$13:$Q83,$R84,X$13:X83)</f>
        <v>960000</v>
      </c>
      <c r="Y84" s="83">
        <f>SUMIF($R$13:$R83,$R84,Y$13:Y83)</f>
        <v>16193765</v>
      </c>
      <c r="Z84" s="17"/>
      <c r="AA84" s="17"/>
    </row>
    <row r="85" spans="1:27" ht="15" x14ac:dyDescent="0.3">
      <c r="B85" s="46"/>
      <c r="C85" s="18"/>
      <c r="D85" s="18"/>
      <c r="E85" s="18"/>
      <c r="F85" s="18"/>
      <c r="G85" s="98"/>
      <c r="H85" s="18"/>
      <c r="I85" s="18"/>
      <c r="J85" s="18"/>
      <c r="K85" s="18"/>
      <c r="L85" s="66"/>
      <c r="M85" s="18"/>
      <c r="N85" s="18"/>
      <c r="O85" s="18"/>
      <c r="P85" s="18"/>
      <c r="Q85" s="49" t="s">
        <v>39</v>
      </c>
      <c r="R85" s="47" t="s">
        <v>10</v>
      </c>
      <c r="S85" s="56">
        <f>SUMIF($Q$13:$Q83,$R85,S$13:S83)</f>
        <v>0</v>
      </c>
      <c r="T85" s="57">
        <f>SUMIF($Q$13:$Q83,$R85,T$13:T83)</f>
        <v>0</v>
      </c>
      <c r="U85" s="57">
        <f>SUMIF($R$13:$R83,$R85,U$13:U83)</f>
        <v>0</v>
      </c>
      <c r="V85" s="48"/>
      <c r="W85" s="56">
        <f>SUMIF($Q$13:$Q83,$R85,W$13:W83)</f>
        <v>0</v>
      </c>
      <c r="X85" s="57">
        <f>SUMIF($Q$13:$Q83,$R85,X$13:X83)</f>
        <v>0</v>
      </c>
      <c r="Y85" s="58">
        <f>SUMIF($R$13:$R83,$R85,Y$13:Y83)</f>
        <v>0</v>
      </c>
      <c r="Z85" s="17"/>
      <c r="AA85" s="17"/>
    </row>
    <row r="86" spans="1:27" ht="15" x14ac:dyDescent="0.3">
      <c r="B86" s="46"/>
      <c r="C86" s="18"/>
      <c r="D86" s="18"/>
      <c r="E86" s="18"/>
      <c r="F86" s="18"/>
      <c r="G86" s="98"/>
      <c r="H86" s="18"/>
      <c r="I86" s="18"/>
      <c r="J86" s="18"/>
      <c r="K86" s="18"/>
      <c r="L86" s="66"/>
      <c r="M86" s="18"/>
      <c r="N86" s="18"/>
      <c r="O86" s="18"/>
      <c r="P86" s="18"/>
      <c r="Q86" s="49" t="s">
        <v>39</v>
      </c>
      <c r="R86" s="47" t="s">
        <v>15</v>
      </c>
      <c r="S86" s="56">
        <f>SUMIF($Q$13:$Q83,$R86,S$13:S83)</f>
        <v>0</v>
      </c>
      <c r="T86" s="57">
        <f>SUMIF($Q$13:$Q83,$R86,T$13:T83)</f>
        <v>0</v>
      </c>
      <c r="U86" s="57">
        <f>SUMIF($R$13:$R83,$R86,U$13:U83)</f>
        <v>0</v>
      </c>
      <c r="V86" s="48"/>
      <c r="W86" s="56">
        <f>SUMIF($Q$13:$Q83,$R86,W$13:W83)</f>
        <v>0</v>
      </c>
      <c r="X86" s="57">
        <f>SUMIF($Q$13:$Q83,$R86,X$13:X83)</f>
        <v>0</v>
      </c>
      <c r="Y86" s="58">
        <f>SUMIF($R$13:$R83,$R86,Y$13:Y83)</f>
        <v>0</v>
      </c>
      <c r="Z86" s="17"/>
      <c r="AA86" s="17"/>
    </row>
    <row r="87" spans="1:27" ht="15" x14ac:dyDescent="0.3">
      <c r="B87" s="46"/>
      <c r="C87" s="18"/>
      <c r="D87" s="18"/>
      <c r="E87" s="18"/>
      <c r="F87" s="18"/>
      <c r="G87" s="98"/>
      <c r="H87" s="18"/>
      <c r="I87" s="18"/>
      <c r="J87" s="18"/>
      <c r="K87" s="18"/>
      <c r="L87" s="66"/>
      <c r="M87" s="18"/>
      <c r="N87" s="18"/>
      <c r="O87" s="18"/>
      <c r="P87" s="18"/>
      <c r="Q87" s="49" t="s">
        <v>39</v>
      </c>
      <c r="R87" s="47" t="s">
        <v>9</v>
      </c>
      <c r="S87" s="56">
        <f>SUMIF($Q$13:$Q83,$R87,S$13:S83)</f>
        <v>0</v>
      </c>
      <c r="T87" s="57">
        <f>SUMIF($Q$13:$Q83,$R87,T$13:T83)</f>
        <v>0</v>
      </c>
      <c r="U87" s="57">
        <f>SUMIF($R$13:$R83,$R87,U$13:U83)</f>
        <v>0</v>
      </c>
      <c r="V87" s="48"/>
      <c r="W87" s="56">
        <f>SUMIF($Q$13:$Q83,$R87,W$13:W83)</f>
        <v>0</v>
      </c>
      <c r="X87" s="57">
        <f>SUMIF($Q$13:$Q83,$R87,X$13:X83)</f>
        <v>0</v>
      </c>
      <c r="Y87" s="58">
        <f>SUMIF($R$13:$R86,$R87,Y$13:Y86)</f>
        <v>0</v>
      </c>
      <c r="Z87" s="17"/>
      <c r="AA87" s="17"/>
    </row>
    <row r="88" spans="1:27" ht="15" x14ac:dyDescent="0.3">
      <c r="B88" s="46"/>
      <c r="C88" s="18"/>
      <c r="D88" s="18"/>
      <c r="E88" s="18"/>
      <c r="F88" s="18"/>
      <c r="G88" s="98"/>
      <c r="H88" s="18"/>
      <c r="I88" s="18"/>
      <c r="J88" s="18"/>
      <c r="K88" s="18"/>
      <c r="L88" s="66"/>
      <c r="M88" s="18"/>
      <c r="N88" s="18"/>
      <c r="O88" s="18"/>
      <c r="P88" s="18"/>
      <c r="Q88" s="49" t="s">
        <v>39</v>
      </c>
      <c r="R88" s="47" t="s">
        <v>13</v>
      </c>
      <c r="S88" s="56">
        <f>SUMIF($Q$13:$Q83,$R88,S$13:S83)</f>
        <v>0</v>
      </c>
      <c r="T88" s="57">
        <f>SUMIF($Q$13:$Q83,$R88,T$13:T83)</f>
        <v>0</v>
      </c>
      <c r="U88" s="57">
        <f>SUMIF($R$13:$R83,$R88,U$13:U83)</f>
        <v>0</v>
      </c>
      <c r="V88" s="48"/>
      <c r="W88" s="56">
        <f>SUMIF($Q$13:$Q83,$R88,W$13:W83)</f>
        <v>0</v>
      </c>
      <c r="X88" s="57">
        <f>SUMIF($Q$13:$Q83,$R88,X$13:X83)</f>
        <v>0</v>
      </c>
      <c r="Y88" s="58">
        <f>SUMIF($R$13:$R83,$R88,Y$13:Y83)</f>
        <v>0</v>
      </c>
      <c r="Z88" s="17"/>
      <c r="AA88" s="17"/>
    </row>
    <row r="89" spans="1:27" ht="15" x14ac:dyDescent="0.3">
      <c r="B89" s="46"/>
      <c r="C89" s="18"/>
      <c r="D89" s="18"/>
      <c r="E89" s="18"/>
      <c r="F89" s="18"/>
      <c r="G89" s="98"/>
      <c r="H89" s="18"/>
      <c r="I89" s="18"/>
      <c r="J89" s="18"/>
      <c r="K89" s="18"/>
      <c r="L89" s="66"/>
      <c r="M89" s="18"/>
      <c r="N89" s="18"/>
      <c r="O89" s="18"/>
      <c r="P89" s="18"/>
      <c r="Q89" s="49" t="s">
        <v>39</v>
      </c>
      <c r="R89" s="47" t="s">
        <v>12</v>
      </c>
      <c r="S89" s="56">
        <f>SUMIF($Q$13:$Q83,$R89,S$13:S83)</f>
        <v>0</v>
      </c>
      <c r="T89" s="57">
        <f>SUMIF($Q$13:$Q83,$R89,T$13:T83)</f>
        <v>0</v>
      </c>
      <c r="U89" s="57">
        <f>SUMIF($R$13:$R83,$R89,U$13:U83)</f>
        <v>0</v>
      </c>
      <c r="V89" s="48"/>
      <c r="W89" s="56">
        <f>SUMIF($Q$13:$Q83,$R89,W$13:W83)</f>
        <v>0</v>
      </c>
      <c r="X89" s="57">
        <f>SUMIF($Q$13:$Q83,$R89,X$13:X83)</f>
        <v>0</v>
      </c>
      <c r="Y89" s="58">
        <f>SUMIF($R$13:$R83,$R89,Y$13:Y83)</f>
        <v>0</v>
      </c>
      <c r="Z89" s="17"/>
      <c r="AA89" s="17"/>
    </row>
    <row r="90" spans="1:27" ht="15" x14ac:dyDescent="0.3">
      <c r="B90" s="42"/>
      <c r="C90" s="43"/>
      <c r="D90" s="43"/>
      <c r="E90" s="43"/>
      <c r="F90" s="43"/>
      <c r="G90" s="99"/>
      <c r="H90" s="43"/>
      <c r="I90" s="43"/>
      <c r="J90" s="43"/>
      <c r="K90" s="43"/>
      <c r="L90" s="67"/>
      <c r="M90" s="43"/>
      <c r="N90" s="43"/>
      <c r="O90" s="43"/>
      <c r="P90" s="43"/>
      <c r="Q90" s="44" t="s">
        <v>39</v>
      </c>
      <c r="R90" s="45" t="s">
        <v>16</v>
      </c>
      <c r="S90" s="59">
        <f>SUMIF($Q$13:$Q83,$R90,S$13:S83)</f>
        <v>0</v>
      </c>
      <c r="T90" s="60">
        <f>SUMIF($Q$13:$Q83,$R90,T$13:T83)</f>
        <v>0</v>
      </c>
      <c r="U90" s="60">
        <f>SUMIF($R$13:$R83,$R90,U$13:U83)</f>
        <v>0</v>
      </c>
      <c r="V90" s="39"/>
      <c r="W90" s="59">
        <f>SUMIF($Q$13:$Q83,$R90,W$13:W83)</f>
        <v>0</v>
      </c>
      <c r="X90" s="60">
        <f>SUMIF($Q$13:$Q83,$R90,X$13:X83)</f>
        <v>0</v>
      </c>
      <c r="Y90" s="61">
        <f>SUMIF($R$13:$R83,$R90,Y$13:Y83)</f>
        <v>0</v>
      </c>
      <c r="Z90" s="17"/>
      <c r="AA90" s="17"/>
    </row>
    <row r="91" spans="1:27" ht="32.25" customHeight="1" x14ac:dyDescent="0.3">
      <c r="B91" s="13"/>
      <c r="C91" s="8"/>
      <c r="E91" s="12"/>
      <c r="F91" s="12"/>
      <c r="G91" s="13"/>
      <c r="H91" s="12"/>
      <c r="I91" s="12"/>
      <c r="J91" s="12"/>
      <c r="K91" s="12"/>
      <c r="M91" s="17"/>
      <c r="N91" s="17"/>
      <c r="O91" s="17"/>
      <c r="P91" s="17"/>
      <c r="Q91" s="17"/>
      <c r="R91" s="17"/>
      <c r="S91" s="73"/>
      <c r="T91" s="74"/>
      <c r="U91" s="84"/>
      <c r="V91" s="17"/>
      <c r="W91" s="74"/>
      <c r="X91" s="74"/>
      <c r="Y91" s="74"/>
      <c r="Z91" s="17"/>
      <c r="AA91" s="17"/>
    </row>
    <row r="92" spans="1:27" x14ac:dyDescent="0.3">
      <c r="B92" s="19"/>
      <c r="C92" s="14"/>
      <c r="E92" s="20"/>
      <c r="F92" s="20"/>
      <c r="G92" s="94"/>
      <c r="H92" s="21"/>
      <c r="I92" s="21"/>
      <c r="J92" s="21"/>
      <c r="K92" s="21"/>
      <c r="M92" s="21"/>
      <c r="N92" s="21"/>
      <c r="O92" s="21"/>
      <c r="P92" s="21"/>
      <c r="Q92" s="22"/>
      <c r="R92" s="22"/>
      <c r="S92" s="88"/>
      <c r="T92" s="88"/>
      <c r="U92" s="84"/>
      <c r="V92" s="15"/>
      <c r="W92" s="84"/>
      <c r="X92" s="84"/>
      <c r="Y92" s="84"/>
      <c r="Z92" s="15"/>
      <c r="AA92" s="17"/>
    </row>
    <row r="93" spans="1:27" ht="15" x14ac:dyDescent="0.3">
      <c r="B93" s="23"/>
      <c r="C93" s="14"/>
      <c r="E93" s="11"/>
      <c r="F93" s="11"/>
      <c r="G93" s="95"/>
      <c r="H93" s="11"/>
      <c r="I93" s="11"/>
      <c r="J93" s="11"/>
      <c r="K93" s="11"/>
      <c r="M93" s="11"/>
      <c r="N93" s="11"/>
      <c r="O93" s="11"/>
      <c r="P93" s="11"/>
      <c r="Q93" s="15"/>
      <c r="R93" s="15"/>
      <c r="S93" s="84"/>
      <c r="T93" s="84"/>
      <c r="U93" s="84"/>
      <c r="V93" s="15"/>
      <c r="W93" s="84"/>
      <c r="X93" s="84"/>
      <c r="Y93" s="84"/>
      <c r="Z93" s="16"/>
      <c r="AA93" s="17"/>
    </row>
    <row r="94" spans="1:27" x14ac:dyDescent="0.3">
      <c r="B94" s="19"/>
      <c r="C94" s="14"/>
      <c r="E94" s="11"/>
      <c r="F94" s="11"/>
      <c r="G94" s="95"/>
      <c r="H94" s="11"/>
      <c r="I94" s="11"/>
      <c r="J94" s="11"/>
      <c r="K94" s="11"/>
      <c r="L94" s="68"/>
      <c r="M94" s="11"/>
      <c r="N94" s="11"/>
      <c r="O94" s="11"/>
      <c r="P94" s="11"/>
      <c r="Q94" s="15"/>
      <c r="R94" s="15"/>
      <c r="S94" s="84"/>
      <c r="T94" s="84"/>
      <c r="U94" s="84"/>
      <c r="V94" s="15"/>
      <c r="W94" s="84"/>
      <c r="X94" s="84"/>
      <c r="Y94" s="84"/>
      <c r="Z94" s="16"/>
      <c r="AA94" s="17"/>
    </row>
    <row r="95" spans="1:27" x14ac:dyDescent="0.3">
      <c r="B95" s="24"/>
      <c r="C95" s="14"/>
      <c r="E95" s="11"/>
      <c r="F95" s="11"/>
      <c r="G95" s="95"/>
      <c r="H95" s="11"/>
      <c r="I95" s="11"/>
      <c r="J95" s="11"/>
      <c r="K95" s="11"/>
      <c r="L95" s="69"/>
      <c r="M95" s="11"/>
      <c r="N95" s="11"/>
      <c r="O95" s="11"/>
      <c r="P95" s="11"/>
      <c r="Q95" s="15"/>
      <c r="R95" s="15"/>
      <c r="S95" s="84"/>
      <c r="T95" s="84"/>
      <c r="U95" s="84"/>
      <c r="V95" s="15"/>
      <c r="W95" s="84"/>
      <c r="X95" s="84"/>
      <c r="Y95" s="85"/>
      <c r="Z95" s="25"/>
      <c r="AA95" s="17"/>
    </row>
    <row r="96" spans="1:27" x14ac:dyDescent="0.3">
      <c r="B96" s="19"/>
      <c r="C96" s="14"/>
      <c r="E96" s="11"/>
      <c r="F96" s="11"/>
      <c r="G96" s="95"/>
      <c r="H96" s="11"/>
      <c r="I96" s="11"/>
      <c r="J96" s="11"/>
      <c r="K96" s="11"/>
      <c r="L96" s="69"/>
      <c r="M96" s="26"/>
      <c r="N96" s="26"/>
      <c r="O96" s="26"/>
      <c r="P96" s="26"/>
      <c r="Q96" s="4"/>
      <c r="R96" s="4"/>
      <c r="S96" s="73"/>
      <c r="U96" s="85"/>
      <c r="V96" s="15"/>
      <c r="W96" s="85"/>
      <c r="X96" s="85"/>
      <c r="Y96" s="85"/>
      <c r="Z96" s="27"/>
      <c r="AA96" s="17"/>
    </row>
    <row r="97" spans="2:27" ht="15" x14ac:dyDescent="0.3">
      <c r="B97" s="23"/>
      <c r="C97" s="14"/>
      <c r="E97" s="11"/>
      <c r="F97" s="11"/>
      <c r="G97" s="95"/>
      <c r="H97" s="11"/>
      <c r="I97" s="11"/>
      <c r="J97" s="11"/>
      <c r="K97" s="11"/>
      <c r="L97" s="69"/>
      <c r="M97" s="26"/>
      <c r="N97" s="26"/>
      <c r="O97" s="26"/>
      <c r="P97" s="26"/>
      <c r="Q97" s="4"/>
      <c r="R97" s="4"/>
      <c r="S97" s="73"/>
      <c r="U97" s="84"/>
      <c r="V97" s="25"/>
      <c r="W97" s="85"/>
      <c r="X97" s="74"/>
      <c r="Y97" s="86" t="s">
        <v>8</v>
      </c>
      <c r="Z97" s="27"/>
      <c r="AA97" s="17"/>
    </row>
    <row r="98" spans="2:27" x14ac:dyDescent="0.3">
      <c r="B98" s="19"/>
      <c r="C98" s="14"/>
      <c r="E98" s="11"/>
      <c r="F98" s="11"/>
      <c r="G98" s="95"/>
      <c r="H98" s="11"/>
      <c r="I98" s="11"/>
      <c r="J98" s="11"/>
      <c r="K98" s="11"/>
      <c r="L98" s="69"/>
      <c r="M98" s="11"/>
      <c r="N98" s="11"/>
      <c r="O98" s="11"/>
      <c r="P98" s="11"/>
      <c r="Q98" s="15"/>
      <c r="R98" s="15"/>
      <c r="S98" s="84"/>
      <c r="T98" s="84"/>
      <c r="U98" s="84"/>
      <c r="V98" s="15"/>
      <c r="W98" s="84"/>
      <c r="X98" s="74"/>
      <c r="Y98" s="86" t="s">
        <v>7</v>
      </c>
      <c r="Z98" s="16"/>
      <c r="AA98" s="17"/>
    </row>
    <row r="99" spans="2:27" x14ac:dyDescent="0.3">
      <c r="B99" s="24"/>
      <c r="C99" s="14"/>
      <c r="E99" s="11"/>
      <c r="F99" s="11"/>
      <c r="G99" s="95"/>
      <c r="H99" s="11"/>
      <c r="I99" s="11"/>
      <c r="J99" s="11"/>
      <c r="K99" s="11"/>
      <c r="L99" s="69"/>
      <c r="M99" s="11"/>
      <c r="N99" s="11"/>
      <c r="O99" s="11"/>
      <c r="P99" s="11"/>
      <c r="Q99" s="15"/>
      <c r="R99" s="15"/>
      <c r="S99" s="84"/>
      <c r="T99" s="84"/>
      <c r="U99" s="84"/>
      <c r="V99" s="15"/>
      <c r="W99" s="84"/>
      <c r="X99" s="84"/>
      <c r="Y99" s="84"/>
      <c r="Z99" s="16"/>
      <c r="AA99" s="17"/>
    </row>
    <row r="100" spans="2:27" s="4" customFormat="1" x14ac:dyDescent="0.3">
      <c r="B100" s="24"/>
      <c r="C100" s="17"/>
      <c r="D100" s="17"/>
      <c r="E100" s="17"/>
      <c r="F100" s="17"/>
      <c r="G100" s="24"/>
      <c r="H100" s="17"/>
      <c r="I100" s="17"/>
      <c r="J100" s="17"/>
      <c r="K100" s="17"/>
      <c r="L100" s="68"/>
      <c r="M100" s="17"/>
      <c r="N100" s="17"/>
      <c r="O100" s="17"/>
      <c r="P100" s="17"/>
      <c r="S100" s="73"/>
      <c r="T100" s="73"/>
      <c r="U100" s="84"/>
      <c r="V100" s="15"/>
      <c r="W100" s="84"/>
      <c r="X100" s="84"/>
      <c r="Y100" s="73"/>
      <c r="AA100" s="17"/>
    </row>
    <row r="101" spans="2:27" x14ac:dyDescent="0.3">
      <c r="S101" s="73"/>
      <c r="AA101" s="17"/>
    </row>
  </sheetData>
  <autoFilter ref="B12:Y90"/>
  <phoneticPr fontId="11" type="noConversion"/>
  <pageMargins left="0.31486111879348755" right="0.31486111879348755" top="0.35430556535720825" bottom="0.35430556535720825" header="0.31486111879348755" footer="0.31486111879348755"/>
  <pageSetup paperSize="9" scale="43" orientation="landscape" horizontalDpi="4294967295" verticalDpi="4294967295"/>
  <headerFooter>
    <oddFooter>&amp;R&amp;"맑은 고딕,Regular"&amp;P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</dc:creator>
  <cp:lastModifiedBy>kbins</cp:lastModifiedBy>
  <cp:revision>1</cp:revision>
  <cp:lastPrinted>2021-07-22T06:20:48Z</cp:lastPrinted>
  <dcterms:created xsi:type="dcterms:W3CDTF">2015-09-20T23:40:45Z</dcterms:created>
  <dcterms:modified xsi:type="dcterms:W3CDTF">2026-03-23T07:13:48Z</dcterms:modified>
  <cp:version>1000.0100.01</cp:version>
</cp:coreProperties>
</file>