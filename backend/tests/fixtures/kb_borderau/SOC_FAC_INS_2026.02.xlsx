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아웃룩 전달파일\(((재보험금 리스트 발송)))\SOC 발송여부\발송예정 SOC\SOC발송준비건\"/>
    </mc:Choice>
  </mc:AlternateContent>
  <bookViews>
    <workbookView xWindow="180" yWindow="750" windowWidth="34680" windowHeight="19575" tabRatio="847"/>
  </bookViews>
  <sheets>
    <sheet name="SOC" sheetId="1" r:id="rId1"/>
  </sheets>
  <definedNames>
    <definedName name="_xlnm._FilterDatabase" localSheetId="0" hidden="1">SOC!$B$12:$Z$33</definedName>
    <definedName name="_xlnm.Print_Titles" localSheetId="0">SOC!#REF!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3" i="1" l="1"/>
  <c r="Y33" i="1"/>
  <c r="X33" i="1"/>
  <c r="Z42" i="1" s="1"/>
  <c r="V33" i="1"/>
  <c r="U33" i="1"/>
  <c r="T33" i="1"/>
  <c r="Z32" i="1"/>
  <c r="Y32" i="1"/>
  <c r="X32" i="1"/>
  <c r="Z41" i="1" s="1"/>
  <c r="V32" i="1"/>
  <c r="U32" i="1"/>
  <c r="T32" i="1"/>
  <c r="Z31" i="1"/>
  <c r="Y31" i="1"/>
  <c r="X31" i="1"/>
  <c r="Z40" i="1" s="1"/>
  <c r="V31" i="1"/>
  <c r="U31" i="1"/>
  <c r="T31" i="1"/>
  <c r="Z30" i="1"/>
  <c r="Y30" i="1"/>
  <c r="X30" i="1"/>
  <c r="Z39" i="1" s="1"/>
  <c r="V30" i="1"/>
  <c r="U30" i="1"/>
  <c r="T30" i="1"/>
  <c r="Z29" i="1"/>
  <c r="Y29" i="1"/>
  <c r="X29" i="1"/>
  <c r="Z38" i="1" s="1"/>
  <c r="V29" i="1"/>
  <c r="U29" i="1"/>
  <c r="T29" i="1"/>
  <c r="Z28" i="1"/>
  <c r="Y28" i="1"/>
  <c r="X28" i="1"/>
  <c r="Z37" i="1" s="1"/>
  <c r="V28" i="1"/>
  <c r="U28" i="1"/>
  <c r="T28" i="1"/>
  <c r="Z27" i="1"/>
  <c r="Y27" i="1"/>
  <c r="X27" i="1"/>
  <c r="Z36" i="1" s="1"/>
  <c r="V27" i="1"/>
  <c r="U27" i="1"/>
  <c r="T27" i="1"/>
  <c r="Z26" i="1"/>
  <c r="Y26" i="1"/>
  <c r="X26" i="1"/>
  <c r="Z35" i="1" s="1"/>
  <c r="V26" i="1"/>
  <c r="U26" i="1"/>
  <c r="T26" i="1"/>
</calcChain>
</file>

<file path=xl/sharedStrings.xml><?xml version="1.0" encoding="utf-8"?>
<sst xmlns="http://schemas.openxmlformats.org/spreadsheetml/2006/main" count="166" uniqueCount="87">
  <si>
    <r>
      <rPr>
        <sz val="11"/>
        <color rgb="FF000000"/>
        <rFont val="맑은 고딕"/>
        <family val="3"/>
        <charset val="129"/>
      </rPr>
      <t xml:space="preserve">계약자명
</t>
    </r>
    <r>
      <rPr>
        <sz val="11"/>
        <color rgb="FF000000"/>
        <rFont val="Arial"/>
        <family val="2"/>
      </rPr>
      <t>(Insured)</t>
    </r>
  </si>
  <si>
    <r>
      <rPr>
        <sz val="11"/>
        <color rgb="FF000000"/>
        <rFont val="맑은 고딕"/>
        <family val="3"/>
        <charset val="129"/>
      </rPr>
      <t xml:space="preserve">접수번호
</t>
    </r>
    <r>
      <rPr>
        <sz val="11"/>
        <color rgb="FF000000"/>
        <rFont val="Arial"/>
        <family val="2"/>
      </rPr>
      <t>(KB Ref)</t>
    </r>
  </si>
  <si>
    <r>
      <rPr>
        <sz val="11"/>
        <color rgb="FF000000"/>
        <rFont val="맑은 고딕"/>
        <family val="3"/>
        <charset val="129"/>
      </rPr>
      <t xml:space="preserve">보험종료일
</t>
    </r>
    <r>
      <rPr>
        <sz val="11"/>
        <color rgb="FF000000"/>
        <rFont val="Arial"/>
        <family val="2"/>
      </rPr>
      <t>(Expiry)</t>
    </r>
  </si>
  <si>
    <t>KB Insurance</t>
  </si>
  <si>
    <r>
      <rPr>
        <sz val="11"/>
        <color rgb="FF000000"/>
        <rFont val="맑은 고딕"/>
        <family val="3"/>
        <charset val="129"/>
      </rPr>
      <t xml:space="preserve">재해명
</t>
    </r>
    <r>
      <rPr>
        <sz val="11"/>
        <color rgb="FF000000"/>
        <rFont val="Arial"/>
        <family val="2"/>
      </rPr>
      <t>(Casualty)</t>
    </r>
  </si>
  <si>
    <r>
      <rPr>
        <sz val="11"/>
        <color rgb="FF000000"/>
        <rFont val="맑은 고딕"/>
        <family val="3"/>
        <charset val="129"/>
      </rPr>
      <t xml:space="preserve">배상청구일자
</t>
    </r>
    <r>
      <rPr>
        <sz val="11"/>
        <color rgb="FF000000"/>
        <rFont val="Arial"/>
        <family val="2"/>
      </rPr>
      <t>(DOC)</t>
    </r>
  </si>
  <si>
    <t>* Address : Daegong Building, 126, Teheran-ro, Gangnam-gu, Seoul, Korea</t>
  </si>
  <si>
    <t>* Bank : Citi Bank</t>
  </si>
  <si>
    <t>* Bank : Hana Bank</t>
  </si>
  <si>
    <r>
      <rPr>
        <sz val="11"/>
        <color rgb="FF000000"/>
        <rFont val="맑은 고딕"/>
        <family val="3"/>
        <charset val="129"/>
      </rPr>
      <t xml:space="preserve">결정차수
</t>
    </r>
    <r>
      <rPr>
        <sz val="11"/>
        <color rgb="FF000000"/>
        <rFont val="Arial"/>
        <family val="2"/>
      </rPr>
      <t>(Paid Serial)</t>
    </r>
  </si>
  <si>
    <r>
      <rPr>
        <sz val="11"/>
        <color rgb="FF000000"/>
        <rFont val="맑은 고딕"/>
        <family val="3"/>
        <charset val="129"/>
      </rPr>
      <t xml:space="preserve">결정일자
</t>
    </r>
    <r>
      <rPr>
        <sz val="11"/>
        <color rgb="FF000000"/>
        <rFont val="Arial"/>
        <family val="2"/>
      </rPr>
      <t>(Paid Date)</t>
    </r>
  </si>
  <si>
    <r>
      <rPr>
        <sz val="11"/>
        <color rgb="FF000000"/>
        <rFont val="맑은 고딕"/>
        <family val="3"/>
        <charset val="129"/>
      </rPr>
      <t xml:space="preserve">원수보험금
</t>
    </r>
    <r>
      <rPr>
        <sz val="11"/>
        <color rgb="FF000000"/>
        <rFont val="Arial"/>
        <family val="2"/>
      </rPr>
      <t>(Paid Loss_Indemnity)</t>
    </r>
  </si>
  <si>
    <r>
      <rPr>
        <sz val="11"/>
        <color rgb="FF000000"/>
        <rFont val="맑은 고딕"/>
        <family val="3"/>
        <charset val="129"/>
      </rPr>
      <t>원수보험금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(Paid Loss_Others)</t>
    </r>
  </si>
  <si>
    <r>
      <rPr>
        <sz val="11"/>
        <color rgb="FF000000"/>
        <rFont val="Tahoma"/>
        <family val="2"/>
      </rPr>
      <t>※</t>
    </r>
    <r>
      <rPr>
        <sz val="11"/>
        <color rgb="FF000000"/>
        <rFont val="Arial"/>
        <family val="2"/>
      </rPr>
      <t xml:space="preserve"> The Account for KWON</t>
    </r>
  </si>
  <si>
    <r>
      <rPr>
        <sz val="11"/>
        <color rgb="FF000000"/>
        <rFont val="맑은 고딕"/>
        <family val="3"/>
        <charset val="129"/>
      </rPr>
      <t xml:space="preserve">원수손해조사비
</t>
    </r>
    <r>
      <rPr>
        <sz val="11"/>
        <color rgb="FF000000"/>
        <rFont val="Arial"/>
        <family val="2"/>
      </rPr>
      <t>(Paid Expense)</t>
    </r>
  </si>
  <si>
    <t>General Manager in charge of General Insurance Claim Department</t>
  </si>
  <si>
    <t>Sang-Jae Son / Authorized Representative</t>
  </si>
  <si>
    <t>SETTLEMENT OF CLAIM (FEBRUARY 2026)</t>
  </si>
  <si>
    <r>
      <rPr>
        <sz val="11"/>
        <color rgb="FF000000"/>
        <rFont val="맑은 고딕"/>
        <family val="3"/>
        <charset val="129"/>
      </rPr>
      <t>출재보험금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(Ceded Paid Loss_Others)</t>
    </r>
  </si>
  <si>
    <r>
      <rPr>
        <sz val="11"/>
        <color rgb="FF000000"/>
        <rFont val="돋움"/>
        <family val="3"/>
        <charset val="129"/>
      </rPr>
      <t>※</t>
    </r>
    <r>
      <rPr>
        <sz val="11"/>
        <color rgb="FF000000"/>
        <rFont val="Arial"/>
        <family val="2"/>
      </rPr>
      <t xml:space="preserve"> The Account for other currency</t>
    </r>
  </si>
  <si>
    <r>
      <rPr>
        <sz val="11"/>
        <color rgb="FF000000"/>
        <rFont val="맑은 고딕"/>
        <family val="3"/>
        <charset val="129"/>
      </rPr>
      <t xml:space="preserve">출재보험금
</t>
    </r>
    <r>
      <rPr>
        <sz val="11"/>
        <color rgb="FF000000"/>
        <rFont val="Arial"/>
        <family val="2"/>
      </rPr>
      <t>(Ceded Paid Loss_Indemnity)</t>
    </r>
  </si>
  <si>
    <t>* A/C No. : 202-185609-00105(Swift Code: HNBNKRSE )</t>
  </si>
  <si>
    <t>* A/C No. : 1-005119-243-04(Swift Code: CITIKRSX )</t>
  </si>
  <si>
    <t>EUR</t>
  </si>
  <si>
    <t>AUD</t>
  </si>
  <si>
    <t xml:space="preserve"> </t>
  </si>
  <si>
    <t>YEN</t>
  </si>
  <si>
    <t>STG</t>
  </si>
  <si>
    <t>WON</t>
  </si>
  <si>
    <t>CAD</t>
  </si>
  <si>
    <t>USD</t>
  </si>
  <si>
    <t>Teheran-ro, Gangnam-gu, Seoul</t>
  </si>
  <si>
    <t>Dear Sirs,</t>
  </si>
  <si>
    <t>06134 Korea</t>
  </si>
  <si>
    <r>
      <rPr>
        <sz val="11"/>
        <color rgb="FF000000"/>
        <rFont val="맑은 고딕"/>
        <family val="3"/>
        <charset val="129"/>
      </rPr>
      <t xml:space="preserve">상품명
</t>
    </r>
    <r>
      <rPr>
        <sz val="11"/>
        <color rgb="FF000000"/>
        <rFont val="Arial"/>
        <family val="2"/>
      </rPr>
      <t>(LoB)</t>
    </r>
  </si>
  <si>
    <r>
      <rPr>
        <sz val="11"/>
        <color rgb="FF000000"/>
        <rFont val="맑은 고딕"/>
        <family val="3"/>
        <charset val="129"/>
      </rPr>
      <t xml:space="preserve">사고일자
</t>
    </r>
    <r>
      <rPr>
        <sz val="11"/>
        <color rgb="FF000000"/>
        <rFont val="Arial"/>
        <family val="2"/>
      </rPr>
      <t>(DOL)</t>
    </r>
  </si>
  <si>
    <t>KRW</t>
  </si>
  <si>
    <r>
      <rPr>
        <sz val="11"/>
        <color rgb="FF000000"/>
        <rFont val="맑은 고딕"/>
        <family val="3"/>
        <charset val="129"/>
      </rPr>
      <t xml:space="preserve">보험개시일
</t>
    </r>
    <r>
      <rPr>
        <sz val="11"/>
        <color rgb="FF000000"/>
        <rFont val="Arial"/>
        <family val="2"/>
      </rPr>
      <t>(Inception)</t>
    </r>
  </si>
  <si>
    <r>
      <rPr>
        <sz val="11"/>
        <color rgb="FF000000"/>
        <rFont val="맑은 고딕"/>
        <family val="3"/>
        <charset val="129"/>
      </rPr>
      <t>증권번호</t>
    </r>
    <r>
      <rPr>
        <sz val="11"/>
        <color rgb="FF000000"/>
        <rFont val="Arial"/>
        <family val="2"/>
      </rPr>
      <t xml:space="preserve"> 
(Policy No)</t>
    </r>
  </si>
  <si>
    <r>
      <rPr>
        <sz val="11"/>
        <color rgb="FF000000"/>
        <rFont val="돋움"/>
        <family val="3"/>
        <charset val="129"/>
      </rPr>
      <t xml:space="preserve">목적물번호
</t>
    </r>
    <r>
      <rPr>
        <sz val="11"/>
        <color rgb="FF000000"/>
        <rFont val="Arial"/>
        <family val="2"/>
      </rPr>
      <t>(Item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</si>
  <si>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(Currency_Claim)</t>
    </r>
  </si>
  <si>
    <r>
      <rPr>
        <sz val="11"/>
        <color rgb="FF000000"/>
        <rFont val="맑은 고딕"/>
        <family val="3"/>
        <charset val="129"/>
      </rPr>
      <t xml:space="preserve">사고내용
</t>
    </r>
    <r>
      <rPr>
        <sz val="11"/>
        <color rgb="FF000000"/>
        <rFont val="Arial"/>
        <family val="2"/>
      </rPr>
      <t>(Loss Description)</t>
    </r>
  </si>
  <si>
    <r>
      <rPr>
        <sz val="11"/>
        <color rgb="FF000000"/>
        <rFont val="맑은 고딕"/>
        <family val="3"/>
        <charset val="129"/>
      </rPr>
      <t>출재율</t>
    </r>
    <r>
      <rPr>
        <sz val="11"/>
        <color rgb="FF000000"/>
        <rFont val="Arial"/>
        <family val="2"/>
      </rPr>
      <t>(%)
Your Share(%)</t>
    </r>
  </si>
  <si>
    <r>
      <rPr>
        <sz val="11"/>
        <color rgb="FF000000"/>
        <rFont val="돋움"/>
        <family val="3"/>
        <charset val="129"/>
      </rPr>
      <t xml:space="preserve">출재단위번호
</t>
    </r>
    <r>
      <rPr>
        <sz val="11"/>
        <color rgb="FF000000"/>
        <rFont val="Arial"/>
        <family val="2"/>
      </rPr>
      <t>(Cession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</si>
  <si>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(Currency_Expense)</t>
    </r>
  </si>
  <si>
    <r>
      <rPr>
        <sz val="11"/>
        <color rgb="FF000000"/>
        <rFont val="돋움"/>
        <family val="3"/>
        <charset val="129"/>
      </rPr>
      <t xml:space="preserve">담보코드
</t>
    </r>
    <r>
      <rPr>
        <sz val="11"/>
        <color rgb="FF000000"/>
        <rFont val="Arial"/>
        <family val="2"/>
      </rPr>
      <t>(Coverage Code)</t>
    </r>
  </si>
  <si>
    <t>KB Insurance Bldg., 117,</t>
  </si>
  <si>
    <t>Total</t>
  </si>
  <si>
    <t>To :</t>
  </si>
  <si>
    <t>* Address : 5th Floor, 39, Da-dong, Chung-gu, Seoul, 100-180, Korea</t>
  </si>
  <si>
    <t xml:space="preserve">Amount to be collected from reinsurers -  </t>
  </si>
  <si>
    <t>SGD</t>
  </si>
  <si>
    <r>
      <rPr>
        <sz val="11"/>
        <color rgb="FF000000"/>
        <rFont val="맑은 고딕"/>
        <family val="3"/>
        <charset val="129"/>
      </rPr>
      <t xml:space="preserve">출재손해조사비
</t>
    </r>
    <r>
      <rPr>
        <sz val="11"/>
        <color rgb="FF000000"/>
        <rFont val="Arial"/>
        <family val="2"/>
      </rPr>
      <t>(Ceded Paid Expense)</t>
    </r>
  </si>
  <si>
    <r>
      <rPr>
        <sz val="11"/>
        <color rgb="FF000000"/>
        <rFont val="맑은 고딕"/>
        <family val="3"/>
        <charset val="129"/>
      </rPr>
      <t>개별</t>
    </r>
    <r>
      <rPr>
        <sz val="11"/>
        <color rgb="FF000000"/>
        <rFont val="Arial"/>
        <family val="2"/>
      </rPr>
      <t>SOC</t>
    </r>
    <r>
      <rPr>
        <sz val="11"/>
        <color rgb="FF000000"/>
        <rFont val="맑은 고딕"/>
        <family val="3"/>
        <charset val="129"/>
      </rPr>
      <t xml:space="preserve">발송일자
</t>
    </r>
    <r>
      <rPr>
        <sz val="11"/>
        <color rgb="FF000000"/>
        <rFont val="Arial"/>
        <family val="2"/>
      </rPr>
      <t>(Separate SOC Date)</t>
    </r>
  </si>
  <si>
    <t>(비어 있음)</t>
  </si>
  <si>
    <r>
      <t>인스보험중개</t>
    </r>
    <r>
      <rPr>
        <b/>
        <sz val="14"/>
        <color rgb="FF000000"/>
        <rFont val="Arial"/>
        <family val="2"/>
      </rPr>
      <t>, SEOUL, KOREA</t>
    </r>
  </si>
  <si>
    <r>
      <t>인스보험중개</t>
    </r>
    <r>
      <rPr>
        <sz val="11"/>
        <color rgb="FF000000"/>
        <rFont val="Arial"/>
        <family val="2"/>
      </rPr>
      <t>, SEOUL, KOREA</t>
    </r>
  </si>
  <si>
    <t>국문전문인배상책임보험</t>
  </si>
  <si>
    <t>(의)상원의료재단부평힘찬병원</t>
  </si>
  <si>
    <t>무릎통증으로 치료중 화상 ..안내 4/1o 위임 4/16(수)..o8o5_8</t>
  </si>
  <si>
    <t>김*숙</t>
  </si>
  <si>
    <t>GK4184</t>
  </si>
  <si>
    <t>의료법인 정화의료재단</t>
  </si>
  <si>
    <t>관절통증으로 외래진료받고 류마티스 관절염 진단을 받고 약처방, 신장투석중인 환자로 약을 복용받았는데 전신쇠약 및 설사 잇몸염증등의 증상이 발생되어 입원 / 이후 전신염증반응 증후군 및 패혈증 쇼크로 사망..#메일</t>
  </si>
  <si>
    <t>이*철</t>
  </si>
  <si>
    <t>요추 4/5번 후방 유합술 및 나사못 고정술 시행 후에 염증 소견있어 항생제 투여 중 하지 감각저하 소견 보여 세척술 시행..안내7/1 위임7/7..팩스 18</t>
  </si>
  <si>
    <t>김*철</t>
  </si>
  <si>
    <t>담낭절제술 시행 후 혈액 검사상 수치가 상승/ 이후 확인결과 담판손상이 확인..안내8/7 위임8/13(수)......#o8o6_1o</t>
  </si>
  <si>
    <t>김*진</t>
  </si>
  <si>
    <t>좌측 무릎 통증으로 내원 후 수술 및 입원치료 중 고열 및 호흡곤란 증상 발생하여 길병원으로 전원 조치함, 전원 후 내과계 중환자실 치료 중 사망..안내1o/16(완료) 위임1o/22(예정)..팩스 7</t>
  </si>
  <si>
    <t>안*이</t>
  </si>
  <si>
    <t>대동병원</t>
  </si>
  <si>
    <t>수면내시경 후 회복실에 입실하고 14시55분 회복 마친 뒤 침대에서 본인 휠체어로 이동하는 과정에서 사고 발생. ........#메일</t>
  </si>
  <si>
    <t>박*한</t>
  </si>
  <si>
    <t>생산물배상책임보험(I)(손해사고기준)</t>
  </si>
  <si>
    <t>(주)동성열기 외 156점</t>
  </si>
  <si>
    <t>-</t>
  </si>
  <si>
    <t>전기 온수기 누수사고 피해</t>
  </si>
  <si>
    <t>누수(학교)</t>
  </si>
  <si>
    <t>GK0062</t>
  </si>
  <si>
    <t>보일러 누수</t>
  </si>
  <si>
    <t>누수</t>
  </si>
  <si>
    <t>영문전문인배상책임보험</t>
  </si>
  <si>
    <t>(주)비코스마일투어</t>
  </si>
  <si>
    <t>24.4.19 하나투어 통해 하노이에서 여행중인 손님이 배타다 떨어져 거골골절로 인한 수술2회 치료받고 이후 관절유압수술 예정으로 보상가능한지 상담요청</t>
  </si>
  <si>
    <t>박*배</t>
  </si>
  <si>
    <t>GLC046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</si>
</sst>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_);[Red]\(0\)"/>
    <numFmt numFmtId="177" formatCode="0.000%"/>
    <numFmt numFmtId="178" formatCode="[$-409]mmm&quot;-&quot;yy;@"/>
    <numFmt numFmtId="179" formatCode="_-* #,##0.00_-;\-* #,##0.00_-;_-* &quot;-&quot;_-;_-@_-"/>
  </numFmts>
  <fonts count="1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u/>
      <sz val="16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FF"/>
      <name val="Arial"/>
      <family val="2"/>
    </font>
    <font>
      <b/>
      <sz val="9"/>
      <color rgb="FF0000FF"/>
      <name val="Arial"/>
      <family val="2"/>
    </font>
    <font>
      <sz val="11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3" fillId="0" borderId="0">
      <alignment vertical="center"/>
    </xf>
    <xf numFmtId="0" fontId="2" fillId="0" borderId="0"/>
    <xf numFmtId="0" fontId="13" fillId="0" borderId="0">
      <alignment vertical="center"/>
    </xf>
  </cellStyleXfs>
  <cellXfs count="105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1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176" fontId="4" fillId="0" borderId="0" xfId="2" applyNumberFormat="1" applyFont="1" applyAlignment="1">
      <alignment horizontal="left" vertical="center"/>
    </xf>
    <xf numFmtId="41" fontId="4" fillId="0" borderId="0" xfId="1" applyFont="1">
      <alignment vertical="center"/>
    </xf>
    <xf numFmtId="177" fontId="4" fillId="0" borderId="0" xfId="1" applyNumberFormat="1" applyFont="1">
      <alignment vertical="center"/>
    </xf>
    <xf numFmtId="41" fontId="4" fillId="0" borderId="0" xfId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0" fontId="3" fillId="0" borderId="0" xfId="3" applyFont="1" applyAlignment="1">
      <alignment horizontal="center" vertical="center"/>
    </xf>
    <xf numFmtId="49" fontId="5" fillId="0" borderId="0" xfId="2" applyNumberFormat="1" applyFont="1" applyAlignment="1">
      <alignment horizontal="centerContinuous" vertical="center"/>
    </xf>
    <xf numFmtId="178" fontId="4" fillId="0" borderId="0" xfId="2" applyNumberFormat="1" applyFont="1" applyAlignment="1">
      <alignment vertical="center"/>
    </xf>
    <xf numFmtId="0" fontId="6" fillId="0" borderId="0" xfId="3" applyFont="1" applyProtection="1">
      <alignment vertical="center"/>
      <protection locked="0"/>
    </xf>
    <xf numFmtId="49" fontId="3" fillId="0" borderId="0" xfId="3" applyNumberFormat="1" applyFont="1">
      <alignment vertical="center"/>
    </xf>
    <xf numFmtId="176" fontId="3" fillId="0" borderId="0" xfId="3" applyNumberFormat="1" applyFont="1">
      <alignment vertical="center"/>
    </xf>
    <xf numFmtId="0" fontId="6" fillId="0" borderId="0" xfId="3" applyFont="1" applyAlignment="1">
      <alignment horizontal="center" vertical="center"/>
    </xf>
    <xf numFmtId="41" fontId="6" fillId="0" borderId="0" xfId="1" applyFont="1" applyProtection="1">
      <alignment vertical="center"/>
      <protection locked="0"/>
    </xf>
    <xf numFmtId="177" fontId="6" fillId="0" borderId="0" xfId="1" applyNumberFormat="1" applyFont="1" applyProtection="1">
      <alignment vertical="center"/>
      <protection locked="0"/>
    </xf>
    <xf numFmtId="0" fontId="6" fillId="0" borderId="0" xfId="3" applyFont="1" applyAlignment="1" applyProtection="1">
      <alignment horizontal="left" vertical="center"/>
      <protection locked="0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6" fillId="0" borderId="0" xfId="3" applyNumberFormat="1" applyFont="1">
      <alignment vertical="center"/>
    </xf>
    <xf numFmtId="0" fontId="6" fillId="0" borderId="0" xfId="3" applyFont="1">
      <alignment vertical="center"/>
    </xf>
    <xf numFmtId="41" fontId="6" fillId="0" borderId="0" xfId="1" applyFont="1">
      <alignment vertical="center"/>
    </xf>
    <xf numFmtId="177" fontId="6" fillId="0" borderId="0" xfId="1" applyNumberFormat="1" applyFont="1">
      <alignment vertical="center"/>
    </xf>
    <xf numFmtId="176" fontId="7" fillId="0" borderId="0" xfId="2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0" xfId="3" applyFont="1">
      <alignment vertical="center"/>
    </xf>
    <xf numFmtId="49" fontId="4" fillId="0" borderId="0" xfId="3" applyNumberFormat="1" applyFont="1">
      <alignment vertical="center"/>
    </xf>
    <xf numFmtId="0" fontId="8" fillId="0" borderId="0" xfId="0" applyFont="1" applyAlignment="1">
      <alignment horizontal="right" vertical="center"/>
    </xf>
    <xf numFmtId="14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7" fillId="0" borderId="2" xfId="1" applyNumberFormat="1" applyFont="1" applyBorder="1" applyAlignment="1">
      <alignment horizontal="center" vertical="center" shrinkToFit="1"/>
    </xf>
    <xf numFmtId="0" fontId="4" fillId="0" borderId="3" xfId="0" applyFont="1" applyBorder="1">
      <alignment vertical="center"/>
    </xf>
    <xf numFmtId="14" fontId="4" fillId="0" borderId="3" xfId="0" applyNumberFormat="1" applyFont="1" applyBorder="1">
      <alignment vertical="center"/>
    </xf>
    <xf numFmtId="41" fontId="4" fillId="0" borderId="4" xfId="0" applyNumberFormat="1" applyFont="1" applyBorder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41" fontId="7" fillId="0" borderId="10" xfId="0" applyNumberFormat="1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49" fontId="9" fillId="0" borderId="0" xfId="2" applyNumberFormat="1" applyFont="1" applyAlignment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3" fontId="7" fillId="0" borderId="13" xfId="1" applyNumberFormat="1" applyFont="1" applyBorder="1" applyAlignment="1">
      <alignment horizontal="center" vertical="center" shrinkToFit="1"/>
    </xf>
    <xf numFmtId="0" fontId="4" fillId="0" borderId="14" xfId="0" applyFont="1" applyBorder="1">
      <alignment vertical="center"/>
    </xf>
    <xf numFmtId="3" fontId="7" fillId="0" borderId="15" xfId="1" applyNumberFormat="1" applyFont="1" applyBorder="1" applyAlignment="1">
      <alignment horizontal="center" vertical="center" shrinkToFit="1"/>
    </xf>
    <xf numFmtId="41" fontId="7" fillId="0" borderId="16" xfId="0" applyNumberFormat="1" applyFont="1" applyBorder="1">
      <alignment vertical="center"/>
    </xf>
    <xf numFmtId="179" fontId="7" fillId="0" borderId="14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7" fillId="0" borderId="16" xfId="0" applyNumberFormat="1" applyFont="1" applyBorder="1">
      <alignment vertical="center"/>
    </xf>
    <xf numFmtId="179" fontId="7" fillId="0" borderId="11" xfId="0" applyNumberFormat="1" applyFont="1" applyBorder="1">
      <alignment vertical="center"/>
    </xf>
    <xf numFmtId="179" fontId="7" fillId="0" borderId="12" xfId="0" applyNumberFormat="1" applyFont="1" applyBorder="1">
      <alignment vertical="center"/>
    </xf>
    <xf numFmtId="179" fontId="7" fillId="0" borderId="17" xfId="0" applyNumberFormat="1" applyFont="1" applyBorder="1">
      <alignment vertical="center"/>
    </xf>
    <xf numFmtId="14" fontId="5" fillId="0" borderId="0" xfId="2" applyNumberFormat="1" applyFont="1" applyAlignment="1">
      <alignment horizontal="centerContinuous" vertical="center"/>
    </xf>
    <xf numFmtId="14" fontId="4" fillId="0" borderId="0" xfId="1" applyNumberFormat="1" applyFont="1">
      <alignment vertical="center"/>
    </xf>
    <xf numFmtId="14" fontId="4" fillId="0" borderId="0" xfId="1" applyNumberFormat="1" applyFont="1" applyAlignment="1">
      <alignment horizontal="right" vertical="center"/>
    </xf>
    <xf numFmtId="14" fontId="4" fillId="2" borderId="18" xfId="0" applyNumberFormat="1" applyFont="1" applyFill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 shrinkToFit="1"/>
    </xf>
    <xf numFmtId="14" fontId="7" fillId="0" borderId="15" xfId="1" applyNumberFormat="1" applyFont="1" applyBorder="1" applyAlignment="1">
      <alignment horizontal="center" vertical="center" shrinkToFit="1"/>
    </xf>
    <xf numFmtId="14" fontId="7" fillId="0" borderId="13" xfId="1" applyNumberFormat="1" applyFont="1" applyBorder="1" applyAlignment="1">
      <alignment horizontal="center" vertical="center" shrinkToFit="1"/>
    </xf>
    <xf numFmtId="14" fontId="6" fillId="0" borderId="0" xfId="1" applyNumberFormat="1" applyFont="1">
      <alignment vertical="center"/>
    </xf>
    <xf numFmtId="14" fontId="6" fillId="0" borderId="0" xfId="1" applyNumberFormat="1" applyFont="1" applyProtection="1">
      <alignment vertical="center"/>
      <protection locked="0"/>
    </xf>
    <xf numFmtId="14" fontId="4" fillId="0" borderId="0" xfId="0" applyNumberFormat="1" applyFont="1" applyAlignment="1">
      <alignment horizontal="center" vertical="center"/>
    </xf>
    <xf numFmtId="0" fontId="4" fillId="0" borderId="20" xfId="0" applyFont="1" applyBorder="1">
      <alignment vertical="center"/>
    </xf>
    <xf numFmtId="179" fontId="4" fillId="0" borderId="0" xfId="1" applyNumberFormat="1" applyFont="1" applyAlignment="1">
      <alignment horizontal="center" vertical="center"/>
    </xf>
    <xf numFmtId="179" fontId="5" fillId="0" borderId="0" xfId="2" applyNumberFormat="1" applyFont="1" applyAlignment="1">
      <alignment horizontal="centerContinuous" vertical="center"/>
    </xf>
    <xf numFmtId="179" fontId="4" fillId="0" borderId="0" xfId="1" applyNumberFormat="1" applyFont="1">
      <alignment vertical="center"/>
    </xf>
    <xf numFmtId="179" fontId="4" fillId="0" borderId="0" xfId="0" applyNumberFormat="1" applyFont="1">
      <alignment vertical="center"/>
    </xf>
    <xf numFmtId="179" fontId="4" fillId="2" borderId="5" xfId="0" applyNumberFormat="1" applyFont="1" applyFill="1" applyBorder="1" applyAlignment="1">
      <alignment horizontal="center" vertical="center" wrapText="1"/>
    </xf>
    <xf numFmtId="179" fontId="4" fillId="2" borderId="6" xfId="0" applyNumberFormat="1" applyFont="1" applyFill="1" applyBorder="1" applyAlignment="1">
      <alignment horizontal="center" vertical="center" wrapText="1"/>
    </xf>
    <xf numFmtId="179" fontId="4" fillId="2" borderId="7" xfId="0" applyNumberFormat="1" applyFont="1" applyFill="1" applyBorder="1" applyAlignment="1">
      <alignment horizontal="center" vertical="center" wrapText="1"/>
    </xf>
    <xf numFmtId="179" fontId="7" fillId="0" borderId="8" xfId="0" applyNumberFormat="1" applyFont="1" applyBorder="1">
      <alignment vertical="center"/>
    </xf>
    <xf numFmtId="179" fontId="7" fillId="0" borderId="9" xfId="0" applyNumberFormat="1" applyFont="1" applyBorder="1">
      <alignment vertical="center"/>
    </xf>
    <xf numFmtId="179" fontId="7" fillId="0" borderId="10" xfId="0" applyNumberFormat="1" applyFont="1" applyBorder="1">
      <alignment vertical="center"/>
    </xf>
    <xf numFmtId="179" fontId="6" fillId="0" borderId="0" xfId="1" applyNumberFormat="1" applyFont="1" applyProtection="1">
      <alignment vertical="center"/>
      <protection locked="0"/>
    </xf>
    <xf numFmtId="179" fontId="4" fillId="0" borderId="0" xfId="3" applyNumberFormat="1" applyFont="1">
      <alignment vertical="center"/>
    </xf>
    <xf numFmtId="179" fontId="8" fillId="0" borderId="0" xfId="0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79" fontId="6" fillId="0" borderId="0" xfId="1" applyNumberFormat="1" applyFont="1">
      <alignment vertical="center"/>
    </xf>
    <xf numFmtId="179" fontId="4" fillId="0" borderId="20" xfId="0" applyNumberFormat="1" applyFont="1" applyBorder="1">
      <alignment vertical="center"/>
    </xf>
    <xf numFmtId="179" fontId="4" fillId="0" borderId="3" xfId="0" applyNumberFormat="1" applyFont="1" applyBorder="1">
      <alignment vertical="center"/>
    </xf>
    <xf numFmtId="179" fontId="4" fillId="0" borderId="4" xfId="0" applyNumberFormat="1" applyFont="1" applyBorder="1">
      <alignment vertical="center"/>
    </xf>
    <xf numFmtId="179" fontId="10" fillId="0" borderId="0" xfId="1" applyNumberFormat="1" applyFont="1" applyAlignment="1" applyProtection="1">
      <alignment horizontal="right" vertical="center"/>
      <protection locked="0"/>
    </xf>
    <xf numFmtId="179" fontId="7" fillId="2" borderId="21" xfId="1" applyNumberFormat="1" applyFont="1" applyFill="1" applyBorder="1" applyAlignment="1">
      <alignment horizontal="center" vertical="center" shrinkToFit="1"/>
    </xf>
    <xf numFmtId="179" fontId="7" fillId="2" borderId="21" xfId="0" applyNumberFormat="1" applyFont="1" applyFill="1" applyBorder="1" applyAlignment="1">
      <alignment vertical="center" shrinkToFit="1"/>
    </xf>
    <xf numFmtId="179" fontId="4" fillId="2" borderId="21" xfId="0" applyNumberFormat="1" applyFont="1" applyFill="1" applyBorder="1" applyAlignment="1">
      <alignment vertical="center" shrinkToFit="1"/>
    </xf>
    <xf numFmtId="179" fontId="11" fillId="0" borderId="0" xfId="1" applyNumberFormat="1" applyFont="1" applyAlignment="1" applyProtection="1">
      <alignment horizontal="right" vertical="center"/>
      <protection locked="0"/>
    </xf>
    <xf numFmtId="176" fontId="4" fillId="0" borderId="0" xfId="2" applyNumberFormat="1" applyFont="1" applyAlignment="1">
      <alignment vertical="center"/>
    </xf>
    <xf numFmtId="176" fontId="5" fillId="0" borderId="0" xfId="2" applyNumberFormat="1" applyFont="1" applyAlignment="1">
      <alignment horizontal="centerContinuous" vertical="center"/>
    </xf>
    <xf numFmtId="176" fontId="4" fillId="0" borderId="0" xfId="2" applyNumberFormat="1" applyFont="1" applyAlignment="1">
      <alignment horizontal="right" vertical="center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4" fillId="0" borderId="12" xfId="0" applyNumberFormat="1" applyFont="1" applyBorder="1">
      <alignment vertical="center"/>
    </xf>
    <xf numFmtId="176" fontId="6" fillId="0" borderId="0" xfId="3" applyNumberFormat="1" applyFont="1">
      <alignment vertical="center"/>
    </xf>
    <xf numFmtId="176" fontId="6" fillId="0" borderId="0" xfId="3" applyNumberFormat="1" applyFont="1" applyProtection="1">
      <alignment vertical="center"/>
      <protection locked="0"/>
    </xf>
    <xf numFmtId="176" fontId="4" fillId="0" borderId="3" xfId="0" applyNumberFormat="1" applyFont="1" applyBorder="1" applyAlignment="1">
      <alignment horizontal="right" vertical="center"/>
    </xf>
    <xf numFmtId="0" fontId="15" fillId="0" borderId="0" xfId="2" applyFont="1" applyAlignment="1">
      <alignment vertical="center"/>
    </xf>
  </cellXfs>
  <cellStyles count="4">
    <cellStyle name="쉼표 [0]" xfId="1" builtinId="6"/>
    <cellStyle name="표준" xfId="0" builtinId="0"/>
    <cellStyle name="표준 2" xfId="3"/>
    <cellStyle name="표준_SUM_FAC SoA_Sep~Oct 2008_Brdx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71501</xdr:colOff>
      <xdr:row>0</xdr:row>
      <xdr:rowOff>0</xdr:rowOff>
    </xdr:from>
    <xdr:to>
      <xdr:col>25</xdr:col>
      <xdr:colOff>223901</xdr:colOff>
      <xdr:row>5</xdr:row>
      <xdr:rowOff>4826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8019612" y="0"/>
          <a:ext cx="5538107" cy="2122714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1281176</xdr:colOff>
      <xdr:row>42</xdr:row>
      <xdr:rowOff>142875</xdr:rowOff>
    </xdr:from>
    <xdr:to>
      <xdr:col>25</xdr:col>
      <xdr:colOff>1257300</xdr:colOff>
      <xdr:row>45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50441680" y="80404608"/>
          <a:ext cx="5184321" cy="1170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AB55"/>
  <sheetViews>
    <sheetView tabSelected="1" zoomScale="70" zoomScaleNormal="70" zoomScaleSheetLayoutView="75" workbookViewId="0">
      <pane xSplit="3" ySplit="12" topLeftCell="D13" activePane="bottomRight" state="frozen"/>
      <selection pane="topRight"/>
      <selection pane="bottomLeft"/>
      <selection pane="bottomRight" activeCell="U18" sqref="U18"/>
    </sheetView>
  </sheetViews>
  <sheetFormatPr defaultColWidth="9" defaultRowHeight="14.25" outlineLevelCol="1" x14ac:dyDescent="0.3"/>
  <cols>
    <col min="1" max="1" width="2.75" style="19" customWidth="1"/>
    <col min="2" max="2" width="24" style="19" customWidth="1"/>
    <col min="3" max="3" width="18.125" style="27" customWidth="1"/>
    <col min="4" max="4" width="14.125" style="19" customWidth="1"/>
    <col min="5" max="6" width="11.125" style="19" customWidth="1"/>
    <col min="7" max="7" width="19.375" style="27" customWidth="1"/>
    <col min="8" max="9" width="14.375" style="19" customWidth="1"/>
    <col min="10" max="10" width="17" style="19" customWidth="1"/>
    <col min="11" max="11" width="11.375" style="19" customWidth="1"/>
    <col min="12" max="12" width="13.875" style="19" customWidth="1"/>
    <col min="13" max="13" width="12.5" style="32" customWidth="1"/>
    <col min="14" max="16" width="12.5" style="32" hidden="1" customWidth="1" outlineLevel="1"/>
    <col min="17" max="17" width="16.375" style="33" customWidth="1" collapsed="1"/>
    <col min="18" max="18" width="19.875" style="33" customWidth="1"/>
    <col min="19" max="19" width="21.125" style="69" customWidth="1"/>
    <col min="20" max="20" width="20.375" style="73" customWidth="1"/>
    <col min="21" max="21" width="21" style="73" customWidth="1"/>
    <col min="22" max="22" width="17" style="73" customWidth="1"/>
    <col min="23" max="23" width="14.375" style="5" customWidth="1"/>
    <col min="24" max="26" width="17.125" style="73" customWidth="1"/>
    <col min="27" max="27" width="11.625" style="5" customWidth="1"/>
    <col min="28" max="28" width="1.375" style="19" customWidth="1"/>
    <col min="29" max="29" width="11.875" style="19" bestFit="1" customWidth="1"/>
    <col min="30" max="16384" width="9" style="19"/>
  </cols>
  <sheetData>
    <row r="1" spans="1:27" s="1" customFormat="1" x14ac:dyDescent="0.3">
      <c r="D1" s="12"/>
      <c r="E1" s="2"/>
      <c r="F1" s="2"/>
      <c r="G1" s="94"/>
      <c r="H1" s="3"/>
      <c r="I1" s="3"/>
      <c r="J1" s="3"/>
      <c r="K1" s="3"/>
      <c r="L1" s="4"/>
      <c r="M1" s="3"/>
      <c r="N1" s="3"/>
      <c r="O1" s="3"/>
      <c r="P1" s="3"/>
      <c r="Q1" s="5"/>
      <c r="R1" s="5"/>
      <c r="S1" s="60"/>
      <c r="T1" s="73"/>
      <c r="U1" s="73"/>
      <c r="V1" s="73"/>
      <c r="W1" s="6"/>
      <c r="X1" s="71"/>
      <c r="Y1" s="71"/>
      <c r="Z1" s="71"/>
      <c r="AA1" s="5"/>
    </row>
    <row r="2" spans="1:27" s="1" customFormat="1" x14ac:dyDescent="0.3">
      <c r="B2" s="1" t="s">
        <v>3</v>
      </c>
      <c r="D2" s="12"/>
      <c r="E2" s="2"/>
      <c r="F2" s="2"/>
      <c r="G2" s="94"/>
      <c r="H2" s="3"/>
      <c r="I2" s="3"/>
      <c r="J2" s="3"/>
      <c r="K2" s="3"/>
      <c r="L2" s="4"/>
      <c r="M2" s="3"/>
      <c r="N2" s="3"/>
      <c r="O2" s="3"/>
      <c r="P2" s="3"/>
      <c r="Q2" s="5"/>
      <c r="R2" s="5"/>
      <c r="S2" s="60"/>
      <c r="T2" s="73"/>
      <c r="U2" s="73"/>
      <c r="V2" s="73"/>
      <c r="W2" s="6"/>
      <c r="X2" s="71"/>
      <c r="Y2" s="71"/>
      <c r="Z2" s="71"/>
      <c r="AA2" s="5"/>
    </row>
    <row r="3" spans="1:27" s="1" customFormat="1" x14ac:dyDescent="0.3">
      <c r="B3" s="1" t="s">
        <v>46</v>
      </c>
      <c r="D3" s="12"/>
      <c r="E3" s="11"/>
      <c r="F3" s="11"/>
      <c r="G3" s="94"/>
      <c r="H3" s="3"/>
      <c r="I3" s="3"/>
      <c r="J3" s="3"/>
      <c r="K3" s="3"/>
      <c r="L3" s="4"/>
      <c r="M3" s="3"/>
      <c r="N3" s="3"/>
      <c r="O3" s="3"/>
      <c r="P3" s="3"/>
      <c r="Q3" s="5"/>
      <c r="R3" s="5"/>
      <c r="S3" s="60"/>
      <c r="T3" s="73"/>
      <c r="U3" s="73"/>
      <c r="V3" s="73"/>
      <c r="W3" s="6"/>
      <c r="X3" s="71"/>
      <c r="Y3" s="71"/>
      <c r="Z3" s="71"/>
      <c r="AA3" s="5"/>
    </row>
    <row r="4" spans="1:27" s="1" customFormat="1" x14ac:dyDescent="0.3">
      <c r="B4" s="1" t="s">
        <v>31</v>
      </c>
      <c r="D4" s="12"/>
      <c r="E4" s="2"/>
      <c r="F4" s="2"/>
      <c r="G4" s="94"/>
      <c r="H4" s="3"/>
      <c r="I4" s="3"/>
      <c r="J4" s="3"/>
      <c r="K4" s="3"/>
      <c r="L4" s="4"/>
      <c r="M4" s="3"/>
      <c r="N4" s="3"/>
      <c r="O4" s="3"/>
      <c r="P4" s="3"/>
      <c r="Q4" s="5"/>
      <c r="R4" s="5"/>
      <c r="S4" s="60"/>
      <c r="T4" s="73"/>
      <c r="U4" s="73"/>
      <c r="V4" s="73"/>
      <c r="W4" s="6"/>
      <c r="X4" s="71"/>
      <c r="Y4" s="71"/>
      <c r="Z4" s="71"/>
      <c r="AA4" s="5"/>
    </row>
    <row r="5" spans="1:27" s="1" customFormat="1" x14ac:dyDescent="0.3">
      <c r="B5" s="1" t="s">
        <v>33</v>
      </c>
      <c r="D5" s="12"/>
      <c r="E5" s="2"/>
      <c r="F5" s="2"/>
      <c r="G5" s="94"/>
      <c r="H5" s="3"/>
      <c r="I5" s="3"/>
      <c r="J5" s="3"/>
      <c r="K5" s="3"/>
      <c r="L5" s="4"/>
      <c r="M5" s="3"/>
      <c r="N5" s="3"/>
      <c r="O5" s="3"/>
      <c r="P5" s="3"/>
      <c r="Q5" s="5"/>
      <c r="R5" s="5"/>
      <c r="S5" s="60"/>
      <c r="T5" s="73"/>
      <c r="U5" s="73"/>
      <c r="V5" s="73"/>
      <c r="W5" s="6"/>
      <c r="X5" s="71"/>
      <c r="Y5" s="71"/>
      <c r="Z5" s="71"/>
      <c r="AA5" s="5"/>
    </row>
    <row r="6" spans="1:27" s="1" customFormat="1" ht="9.75" customHeight="1" x14ac:dyDescent="0.3">
      <c r="B6" s="19"/>
      <c r="D6" s="12"/>
      <c r="E6" s="2"/>
      <c r="F6" s="2"/>
      <c r="G6" s="94"/>
      <c r="H6" s="3"/>
      <c r="I6" s="3"/>
      <c r="J6" s="3"/>
      <c r="K6" s="3"/>
      <c r="L6" s="4"/>
      <c r="M6" s="3"/>
      <c r="N6" s="3"/>
      <c r="O6" s="3"/>
      <c r="P6" s="3"/>
      <c r="Q6" s="5"/>
      <c r="R6" s="5"/>
      <c r="S6" s="60"/>
      <c r="T6" s="73"/>
      <c r="U6" s="73"/>
      <c r="V6" s="73"/>
      <c r="W6" s="6"/>
      <c r="X6" s="71"/>
      <c r="Y6" s="71"/>
      <c r="Z6" s="71"/>
    </row>
    <row r="7" spans="1:27" s="1" customFormat="1" x14ac:dyDescent="0.3">
      <c r="B7" s="19" t="s">
        <v>32</v>
      </c>
      <c r="D7" s="12"/>
      <c r="E7" s="2"/>
      <c r="F7" s="2"/>
      <c r="G7" s="94"/>
      <c r="H7" s="3"/>
      <c r="I7" s="3"/>
      <c r="J7" s="3"/>
      <c r="K7" s="3"/>
      <c r="L7" s="4"/>
      <c r="M7" s="3"/>
      <c r="N7" s="3"/>
      <c r="O7" s="3"/>
      <c r="P7" s="3"/>
      <c r="Q7" s="5"/>
      <c r="R7" s="5"/>
      <c r="S7" s="60"/>
      <c r="T7" s="73"/>
      <c r="U7" s="73"/>
      <c r="V7" s="73"/>
      <c r="W7" s="6"/>
      <c r="X7" s="71"/>
      <c r="Y7" s="71"/>
      <c r="Z7" s="71"/>
    </row>
    <row r="8" spans="1:27" s="3" customFormat="1" ht="20.45" customHeight="1" x14ac:dyDescent="0.3">
      <c r="B8" s="10" t="s">
        <v>17</v>
      </c>
      <c r="C8" s="10"/>
      <c r="D8" s="10"/>
      <c r="E8" s="10"/>
      <c r="F8" s="10"/>
      <c r="G8" s="95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9"/>
      <c r="T8" s="72"/>
      <c r="U8" s="72"/>
      <c r="V8" s="72"/>
      <c r="W8" s="10"/>
      <c r="X8" s="72"/>
      <c r="Y8" s="72"/>
      <c r="Z8" s="72"/>
      <c r="AA8" s="10"/>
    </row>
    <row r="9" spans="1:27" s="1" customFormat="1" x14ac:dyDescent="0.3">
      <c r="D9" s="3"/>
      <c r="E9" s="2"/>
      <c r="F9" s="2"/>
      <c r="G9" s="96"/>
      <c r="H9" s="3"/>
      <c r="I9" s="3"/>
      <c r="J9" s="3"/>
      <c r="K9" s="3"/>
      <c r="L9" s="4"/>
      <c r="M9" s="3"/>
      <c r="N9" s="3"/>
      <c r="O9" s="3"/>
      <c r="P9" s="3"/>
      <c r="Q9" s="7"/>
      <c r="R9" s="7"/>
      <c r="S9" s="61"/>
      <c r="T9" s="84"/>
      <c r="U9" s="84"/>
      <c r="V9" s="84"/>
      <c r="W9" s="8"/>
      <c r="X9" s="71"/>
      <c r="Y9" s="73"/>
      <c r="Z9" s="73"/>
      <c r="AA9" s="5"/>
    </row>
    <row r="10" spans="1:27" s="1" customFormat="1" ht="18.75" x14ac:dyDescent="0.3">
      <c r="B10" s="46" t="s">
        <v>48</v>
      </c>
      <c r="C10" s="104" t="s">
        <v>55</v>
      </c>
      <c r="D10" s="3"/>
      <c r="E10" s="2"/>
      <c r="F10" s="2"/>
      <c r="G10" s="94"/>
      <c r="H10" s="3"/>
      <c r="I10" s="3"/>
      <c r="J10" s="3"/>
      <c r="K10" s="3"/>
      <c r="L10" s="4"/>
      <c r="M10" s="3"/>
      <c r="N10" s="3"/>
      <c r="O10" s="3"/>
      <c r="P10" s="3"/>
      <c r="Q10" s="5"/>
      <c r="R10" s="5"/>
      <c r="S10" s="60"/>
      <c r="T10" s="73"/>
      <c r="U10" s="73"/>
      <c r="V10" s="73"/>
      <c r="W10" s="6"/>
      <c r="X10" s="71"/>
      <c r="Y10" s="71"/>
      <c r="Z10" s="71"/>
      <c r="AA10" s="5"/>
    </row>
    <row r="11" spans="1:27" x14ac:dyDescent="0.3">
      <c r="C11" s="19"/>
      <c r="M11" s="19"/>
      <c r="N11" s="19"/>
      <c r="O11" s="19"/>
      <c r="P11" s="19"/>
      <c r="Q11" s="19"/>
      <c r="R11" s="19"/>
      <c r="S11" s="31"/>
      <c r="T11" s="74"/>
      <c r="U11" s="74"/>
      <c r="V11" s="74"/>
      <c r="W11" s="19"/>
      <c r="X11" s="74"/>
      <c r="Y11" s="74"/>
      <c r="Z11" s="74"/>
      <c r="AA11" s="19"/>
    </row>
    <row r="12" spans="1:27" ht="59.45" customHeight="1" x14ac:dyDescent="0.3">
      <c r="B12" s="38" t="s">
        <v>34</v>
      </c>
      <c r="C12" s="39" t="s">
        <v>38</v>
      </c>
      <c r="D12" s="39" t="s">
        <v>0</v>
      </c>
      <c r="E12" s="39" t="s">
        <v>37</v>
      </c>
      <c r="F12" s="39" t="s">
        <v>2</v>
      </c>
      <c r="G12" s="97" t="s">
        <v>1</v>
      </c>
      <c r="H12" s="39" t="s">
        <v>35</v>
      </c>
      <c r="I12" s="39" t="s">
        <v>5</v>
      </c>
      <c r="J12" s="39" t="s">
        <v>41</v>
      </c>
      <c r="K12" s="39" t="s">
        <v>4</v>
      </c>
      <c r="L12" s="39" t="s">
        <v>10</v>
      </c>
      <c r="M12" s="39" t="s">
        <v>9</v>
      </c>
      <c r="N12" s="39" t="s">
        <v>39</v>
      </c>
      <c r="O12" s="39" t="s">
        <v>43</v>
      </c>
      <c r="P12" s="39" t="s">
        <v>45</v>
      </c>
      <c r="Q12" s="39" t="s">
        <v>40</v>
      </c>
      <c r="R12" s="39" t="s">
        <v>44</v>
      </c>
      <c r="S12" s="62" t="s">
        <v>53</v>
      </c>
      <c r="T12" s="75" t="s">
        <v>11</v>
      </c>
      <c r="U12" s="76" t="s">
        <v>12</v>
      </c>
      <c r="V12" s="76" t="s">
        <v>14</v>
      </c>
      <c r="W12" s="40" t="s">
        <v>42</v>
      </c>
      <c r="X12" s="75" t="s">
        <v>20</v>
      </c>
      <c r="Y12" s="76" t="s">
        <v>18</v>
      </c>
      <c r="Z12" s="77" t="s">
        <v>52</v>
      </c>
      <c r="AA12" s="19"/>
    </row>
    <row r="13" spans="1:27" x14ac:dyDescent="0.3">
      <c r="A13" s="19" t="s">
        <v>56</v>
      </c>
      <c r="B13" s="70" t="s">
        <v>57</v>
      </c>
      <c r="C13" s="44">
        <v>20236828732</v>
      </c>
      <c r="D13" s="35" t="s">
        <v>58</v>
      </c>
      <c r="E13" s="36">
        <v>45246</v>
      </c>
      <c r="F13" s="36">
        <v>45611</v>
      </c>
      <c r="G13" s="103">
        <v>20240805042616</v>
      </c>
      <c r="H13" s="45">
        <v>45496</v>
      </c>
      <c r="I13" s="45">
        <v>45502</v>
      </c>
      <c r="J13" s="35" t="s">
        <v>59</v>
      </c>
      <c r="K13" s="35" t="s">
        <v>60</v>
      </c>
      <c r="L13" s="45">
        <v>46064</v>
      </c>
      <c r="M13" s="44">
        <v>1</v>
      </c>
      <c r="N13" s="44">
        <v>1</v>
      </c>
      <c r="O13" s="44">
        <v>1</v>
      </c>
      <c r="P13" s="44" t="s">
        <v>61</v>
      </c>
      <c r="Q13" s="44" t="s">
        <v>28</v>
      </c>
      <c r="R13" s="44" t="s">
        <v>28</v>
      </c>
      <c r="S13" s="63" t="s">
        <v>54</v>
      </c>
      <c r="T13" s="86">
        <v>0</v>
      </c>
      <c r="U13" s="87">
        <v>0</v>
      </c>
      <c r="V13" s="87">
        <v>4023915</v>
      </c>
      <c r="W13" s="37">
        <v>15</v>
      </c>
      <c r="X13" s="86">
        <v>0</v>
      </c>
      <c r="Y13" s="87">
        <v>0</v>
      </c>
      <c r="Z13" s="88">
        <v>603587</v>
      </c>
      <c r="AA13" s="19"/>
    </row>
    <row r="14" spans="1:27" x14ac:dyDescent="0.3">
      <c r="B14" s="70"/>
      <c r="C14" s="44">
        <v>20236828732</v>
      </c>
      <c r="D14" s="35" t="s">
        <v>58</v>
      </c>
      <c r="E14" s="36">
        <v>45246</v>
      </c>
      <c r="F14" s="36">
        <v>45611</v>
      </c>
      <c r="G14" s="103">
        <v>20240805042616</v>
      </c>
      <c r="H14" s="45">
        <v>45496</v>
      </c>
      <c r="I14" s="45"/>
      <c r="J14" s="35" t="s">
        <v>59</v>
      </c>
      <c r="K14" s="35" t="s">
        <v>60</v>
      </c>
      <c r="L14" s="45">
        <v>46064</v>
      </c>
      <c r="M14" s="44">
        <v>2</v>
      </c>
      <c r="N14" s="44">
        <v>1</v>
      </c>
      <c r="O14" s="44">
        <v>1</v>
      </c>
      <c r="P14" s="44" t="s">
        <v>61</v>
      </c>
      <c r="Q14" s="44" t="s">
        <v>28</v>
      </c>
      <c r="R14" s="44" t="s">
        <v>28</v>
      </c>
      <c r="S14" s="63" t="s">
        <v>54</v>
      </c>
      <c r="T14" s="86">
        <v>15100000</v>
      </c>
      <c r="U14" s="87">
        <v>0</v>
      </c>
      <c r="V14" s="87">
        <v>0</v>
      </c>
      <c r="W14" s="37">
        <v>15</v>
      </c>
      <c r="X14" s="86">
        <v>2265000</v>
      </c>
      <c r="Y14" s="87">
        <v>0</v>
      </c>
      <c r="Z14" s="88">
        <v>0</v>
      </c>
      <c r="AA14" s="19"/>
    </row>
    <row r="15" spans="1:27" x14ac:dyDescent="0.3">
      <c r="B15" s="70"/>
      <c r="C15" s="44">
        <v>20243154350</v>
      </c>
      <c r="D15" s="35" t="s">
        <v>62</v>
      </c>
      <c r="E15" s="36">
        <v>45433</v>
      </c>
      <c r="F15" s="36">
        <v>45797</v>
      </c>
      <c r="G15" s="103">
        <v>20250520027829</v>
      </c>
      <c r="H15" s="45">
        <v>45734</v>
      </c>
      <c r="I15" s="45">
        <v>45797</v>
      </c>
      <c r="J15" s="35" t="s">
        <v>63</v>
      </c>
      <c r="K15" s="35" t="s">
        <v>64</v>
      </c>
      <c r="L15" s="45">
        <v>46072</v>
      </c>
      <c r="M15" s="44">
        <v>2</v>
      </c>
      <c r="N15" s="44">
        <v>1</v>
      </c>
      <c r="O15" s="44">
        <v>1</v>
      </c>
      <c r="P15" s="44" t="s">
        <v>61</v>
      </c>
      <c r="Q15" s="44" t="s">
        <v>28</v>
      </c>
      <c r="R15" s="44" t="s">
        <v>28</v>
      </c>
      <c r="S15" s="63" t="s">
        <v>54</v>
      </c>
      <c r="T15" s="86">
        <v>105000000</v>
      </c>
      <c r="U15" s="87">
        <v>0</v>
      </c>
      <c r="V15" s="87">
        <v>2970000</v>
      </c>
      <c r="W15" s="37">
        <v>1</v>
      </c>
      <c r="X15" s="86">
        <v>1050000</v>
      </c>
      <c r="Y15" s="87">
        <v>0</v>
      </c>
      <c r="Z15" s="88">
        <v>29700</v>
      </c>
      <c r="AA15" s="19"/>
    </row>
    <row r="16" spans="1:27" x14ac:dyDescent="0.3">
      <c r="B16" s="70"/>
      <c r="C16" s="44">
        <v>20247258308</v>
      </c>
      <c r="D16" s="35" t="s">
        <v>58</v>
      </c>
      <c r="E16" s="36">
        <v>45612</v>
      </c>
      <c r="F16" s="36">
        <v>45976</v>
      </c>
      <c r="G16" s="103">
        <v>20250701031827</v>
      </c>
      <c r="H16" s="45">
        <v>45533</v>
      </c>
      <c r="I16" s="45">
        <v>45839</v>
      </c>
      <c r="J16" s="35" t="s">
        <v>65</v>
      </c>
      <c r="K16" s="35" t="s">
        <v>66</v>
      </c>
      <c r="L16" s="45">
        <v>46076</v>
      </c>
      <c r="M16" s="44">
        <v>1</v>
      </c>
      <c r="N16" s="44">
        <v>1</v>
      </c>
      <c r="O16" s="44">
        <v>1</v>
      </c>
      <c r="P16" s="44" t="s">
        <v>61</v>
      </c>
      <c r="Q16" s="44" t="s">
        <v>28</v>
      </c>
      <c r="R16" s="44" t="s">
        <v>28</v>
      </c>
      <c r="S16" s="63" t="s">
        <v>54</v>
      </c>
      <c r="T16" s="86">
        <v>0</v>
      </c>
      <c r="U16" s="87">
        <v>0</v>
      </c>
      <c r="V16" s="87">
        <v>4212750</v>
      </c>
      <c r="W16" s="37">
        <v>10</v>
      </c>
      <c r="X16" s="86">
        <v>0</v>
      </c>
      <c r="Y16" s="87">
        <v>0</v>
      </c>
      <c r="Z16" s="88">
        <v>421275</v>
      </c>
      <c r="AA16" s="19"/>
    </row>
    <row r="17" spans="1:27" x14ac:dyDescent="0.3">
      <c r="B17" s="70"/>
      <c r="C17" s="44">
        <v>20247258308</v>
      </c>
      <c r="D17" s="35" t="s">
        <v>58</v>
      </c>
      <c r="E17" s="36">
        <v>45612</v>
      </c>
      <c r="F17" s="36">
        <v>45976</v>
      </c>
      <c r="G17" s="103">
        <v>20250701031827</v>
      </c>
      <c r="H17" s="45">
        <v>45533</v>
      </c>
      <c r="I17" s="45"/>
      <c r="J17" s="35" t="s">
        <v>65</v>
      </c>
      <c r="K17" s="35" t="s">
        <v>66</v>
      </c>
      <c r="L17" s="45">
        <v>46076</v>
      </c>
      <c r="M17" s="44">
        <v>2</v>
      </c>
      <c r="N17" s="44">
        <v>1</v>
      </c>
      <c r="O17" s="44">
        <v>1</v>
      </c>
      <c r="P17" s="44" t="s">
        <v>61</v>
      </c>
      <c r="Q17" s="44" t="s">
        <v>28</v>
      </c>
      <c r="R17" s="44" t="s">
        <v>28</v>
      </c>
      <c r="S17" s="63" t="s">
        <v>54</v>
      </c>
      <c r="T17" s="86">
        <v>80723000</v>
      </c>
      <c r="U17" s="87">
        <v>0</v>
      </c>
      <c r="V17" s="87">
        <v>0</v>
      </c>
      <c r="W17" s="37">
        <v>10</v>
      </c>
      <c r="X17" s="86">
        <v>8072300</v>
      </c>
      <c r="Y17" s="87">
        <v>0</v>
      </c>
      <c r="Z17" s="88">
        <v>0</v>
      </c>
      <c r="AA17" s="19"/>
    </row>
    <row r="18" spans="1:27" x14ac:dyDescent="0.3">
      <c r="B18" s="70"/>
      <c r="C18" s="44">
        <v>20247258308</v>
      </c>
      <c r="D18" s="35" t="s">
        <v>58</v>
      </c>
      <c r="E18" s="36">
        <v>45612</v>
      </c>
      <c r="F18" s="36">
        <v>45976</v>
      </c>
      <c r="G18" s="103">
        <v>20250806012803</v>
      </c>
      <c r="H18" s="45">
        <v>45841</v>
      </c>
      <c r="I18" s="45">
        <v>45875</v>
      </c>
      <c r="J18" s="35" t="s">
        <v>67</v>
      </c>
      <c r="K18" s="35" t="s">
        <v>68</v>
      </c>
      <c r="L18" s="45">
        <v>46063</v>
      </c>
      <c r="M18" s="44">
        <v>1</v>
      </c>
      <c r="N18" s="44">
        <v>1</v>
      </c>
      <c r="O18" s="44">
        <v>1</v>
      </c>
      <c r="P18" s="44" t="s">
        <v>61</v>
      </c>
      <c r="Q18" s="44" t="s">
        <v>28</v>
      </c>
      <c r="R18" s="44" t="s">
        <v>28</v>
      </c>
      <c r="S18" s="63" t="s">
        <v>54</v>
      </c>
      <c r="T18" s="86">
        <v>0</v>
      </c>
      <c r="U18" s="87">
        <v>0</v>
      </c>
      <c r="V18" s="87">
        <v>1308600</v>
      </c>
      <c r="W18" s="37">
        <v>10</v>
      </c>
      <c r="X18" s="86">
        <v>0</v>
      </c>
      <c r="Y18" s="87">
        <v>0</v>
      </c>
      <c r="Z18" s="88">
        <v>130860</v>
      </c>
      <c r="AA18" s="19"/>
    </row>
    <row r="19" spans="1:27" x14ac:dyDescent="0.3">
      <c r="B19" s="70"/>
      <c r="C19" s="44">
        <v>20247258308</v>
      </c>
      <c r="D19" s="35" t="s">
        <v>58</v>
      </c>
      <c r="E19" s="36">
        <v>45612</v>
      </c>
      <c r="F19" s="36">
        <v>45976</v>
      </c>
      <c r="G19" s="103">
        <v>20251016037951</v>
      </c>
      <c r="H19" s="45">
        <v>45839</v>
      </c>
      <c r="I19" s="45">
        <v>45946</v>
      </c>
      <c r="J19" s="35" t="s">
        <v>69</v>
      </c>
      <c r="K19" s="35" t="s">
        <v>70</v>
      </c>
      <c r="L19" s="45">
        <v>46079</v>
      </c>
      <c r="M19" s="44">
        <v>1</v>
      </c>
      <c r="N19" s="44">
        <v>1</v>
      </c>
      <c r="O19" s="44">
        <v>1</v>
      </c>
      <c r="P19" s="44" t="s">
        <v>61</v>
      </c>
      <c r="Q19" s="44" t="s">
        <v>28</v>
      </c>
      <c r="R19" s="44" t="s">
        <v>28</v>
      </c>
      <c r="S19" s="63" t="s">
        <v>54</v>
      </c>
      <c r="T19" s="86">
        <v>27588000</v>
      </c>
      <c r="U19" s="87">
        <v>0</v>
      </c>
      <c r="V19" s="87">
        <v>0</v>
      </c>
      <c r="W19" s="37">
        <v>10</v>
      </c>
      <c r="X19" s="86">
        <v>2758800</v>
      </c>
      <c r="Y19" s="87">
        <v>0</v>
      </c>
      <c r="Z19" s="88">
        <v>0</v>
      </c>
      <c r="AA19" s="19"/>
    </row>
    <row r="20" spans="1:27" x14ac:dyDescent="0.3">
      <c r="B20" s="70"/>
      <c r="C20" s="44">
        <v>20247258308</v>
      </c>
      <c r="D20" s="35" t="s">
        <v>58</v>
      </c>
      <c r="E20" s="36">
        <v>45612</v>
      </c>
      <c r="F20" s="36">
        <v>45976</v>
      </c>
      <c r="G20" s="103">
        <v>20251016037951</v>
      </c>
      <c r="H20" s="45">
        <v>45839</v>
      </c>
      <c r="I20" s="45"/>
      <c r="J20" s="35" t="s">
        <v>69</v>
      </c>
      <c r="K20" s="35" t="s">
        <v>70</v>
      </c>
      <c r="L20" s="45">
        <v>46079</v>
      </c>
      <c r="M20" s="44">
        <v>2</v>
      </c>
      <c r="N20" s="44">
        <v>1</v>
      </c>
      <c r="O20" s="44">
        <v>1</v>
      </c>
      <c r="P20" s="44" t="s">
        <v>61</v>
      </c>
      <c r="Q20" s="44" t="s">
        <v>28</v>
      </c>
      <c r="R20" s="44" t="s">
        <v>28</v>
      </c>
      <c r="S20" s="63" t="s">
        <v>54</v>
      </c>
      <c r="T20" s="86">
        <v>0</v>
      </c>
      <c r="U20" s="87">
        <v>0</v>
      </c>
      <c r="V20" s="87">
        <v>2937621</v>
      </c>
      <c r="W20" s="37">
        <v>10</v>
      </c>
      <c r="X20" s="86">
        <v>0</v>
      </c>
      <c r="Y20" s="87">
        <v>0</v>
      </c>
      <c r="Z20" s="88">
        <v>293762</v>
      </c>
      <c r="AA20" s="19"/>
    </row>
    <row r="21" spans="1:27" x14ac:dyDescent="0.3">
      <c r="B21" s="70"/>
      <c r="C21" s="44">
        <v>20254903741</v>
      </c>
      <c r="D21" s="35" t="s">
        <v>71</v>
      </c>
      <c r="E21" s="36">
        <v>45863</v>
      </c>
      <c r="F21" s="36">
        <v>46228</v>
      </c>
      <c r="G21" s="103">
        <v>20260122030422</v>
      </c>
      <c r="H21" s="45">
        <v>45994</v>
      </c>
      <c r="I21" s="45">
        <v>46044</v>
      </c>
      <c r="J21" s="35" t="s">
        <v>72</v>
      </c>
      <c r="K21" s="35" t="s">
        <v>73</v>
      </c>
      <c r="L21" s="45">
        <v>46072</v>
      </c>
      <c r="M21" s="44">
        <v>1</v>
      </c>
      <c r="N21" s="44">
        <v>1</v>
      </c>
      <c r="O21" s="44">
        <v>1</v>
      </c>
      <c r="P21" s="44" t="s">
        <v>61</v>
      </c>
      <c r="Q21" s="44" t="s">
        <v>28</v>
      </c>
      <c r="R21" s="44" t="s">
        <v>28</v>
      </c>
      <c r="S21" s="63" t="s">
        <v>54</v>
      </c>
      <c r="T21" s="86">
        <v>0</v>
      </c>
      <c r="U21" s="87">
        <v>0</v>
      </c>
      <c r="V21" s="87">
        <v>1050000</v>
      </c>
      <c r="W21" s="37">
        <v>14</v>
      </c>
      <c r="X21" s="86">
        <v>0</v>
      </c>
      <c r="Y21" s="87">
        <v>0</v>
      </c>
      <c r="Z21" s="88">
        <v>147000</v>
      </c>
      <c r="AA21" s="19"/>
    </row>
    <row r="22" spans="1:27" x14ac:dyDescent="0.3">
      <c r="B22" s="70" t="s">
        <v>74</v>
      </c>
      <c r="C22" s="44">
        <v>20243232395</v>
      </c>
      <c r="D22" s="35" t="s">
        <v>75</v>
      </c>
      <c r="E22" s="36">
        <v>45444</v>
      </c>
      <c r="F22" s="36">
        <v>46173</v>
      </c>
      <c r="G22" s="103">
        <v>20260119045483</v>
      </c>
      <c r="H22" s="45">
        <v>46008</v>
      </c>
      <c r="I22" s="45" t="s">
        <v>76</v>
      </c>
      <c r="J22" s="35" t="s">
        <v>77</v>
      </c>
      <c r="K22" s="35" t="s">
        <v>78</v>
      </c>
      <c r="L22" s="45">
        <v>46063</v>
      </c>
      <c r="M22" s="44">
        <v>1</v>
      </c>
      <c r="N22" s="44">
        <v>1</v>
      </c>
      <c r="O22" s="44">
        <v>1</v>
      </c>
      <c r="P22" s="44" t="s">
        <v>79</v>
      </c>
      <c r="Q22" s="44" t="s">
        <v>28</v>
      </c>
      <c r="R22" s="44" t="s">
        <v>28</v>
      </c>
      <c r="S22" s="63" t="s">
        <v>54</v>
      </c>
      <c r="T22" s="86">
        <v>3900000</v>
      </c>
      <c r="U22" s="87">
        <v>0</v>
      </c>
      <c r="V22" s="87">
        <v>773340</v>
      </c>
      <c r="W22" s="37">
        <v>50</v>
      </c>
      <c r="X22" s="86">
        <v>1950000</v>
      </c>
      <c r="Y22" s="87">
        <v>0</v>
      </c>
      <c r="Z22" s="88">
        <v>386670</v>
      </c>
      <c r="AA22" s="19"/>
    </row>
    <row r="23" spans="1:27" x14ac:dyDescent="0.3">
      <c r="B23" s="70"/>
      <c r="C23" s="44">
        <v>20243232395</v>
      </c>
      <c r="D23" s="35" t="s">
        <v>75</v>
      </c>
      <c r="E23" s="36">
        <v>45444</v>
      </c>
      <c r="F23" s="36">
        <v>46173</v>
      </c>
      <c r="G23" s="103">
        <v>20260204009404</v>
      </c>
      <c r="H23" s="45">
        <v>46057</v>
      </c>
      <c r="I23" s="45" t="s">
        <v>76</v>
      </c>
      <c r="J23" s="35" t="s">
        <v>80</v>
      </c>
      <c r="K23" s="35" t="s">
        <v>81</v>
      </c>
      <c r="L23" s="45">
        <v>46077</v>
      </c>
      <c r="M23" s="44">
        <v>1</v>
      </c>
      <c r="N23" s="44">
        <v>1</v>
      </c>
      <c r="O23" s="44">
        <v>1</v>
      </c>
      <c r="P23" s="44" t="s">
        <v>79</v>
      </c>
      <c r="Q23" s="44" t="s">
        <v>28</v>
      </c>
      <c r="R23" s="44" t="s">
        <v>28</v>
      </c>
      <c r="S23" s="63" t="s">
        <v>54</v>
      </c>
      <c r="T23" s="86">
        <v>0</v>
      </c>
      <c r="U23" s="87">
        <v>0</v>
      </c>
      <c r="V23" s="87">
        <v>440000</v>
      </c>
      <c r="W23" s="37">
        <v>50</v>
      </c>
      <c r="X23" s="86">
        <v>0</v>
      </c>
      <c r="Y23" s="87">
        <v>0</v>
      </c>
      <c r="Z23" s="88">
        <v>220000</v>
      </c>
      <c r="AA23" s="19"/>
    </row>
    <row r="24" spans="1:27" x14ac:dyDescent="0.3">
      <c r="B24" s="70" t="s">
        <v>82</v>
      </c>
      <c r="C24" s="44">
        <v>20232940822</v>
      </c>
      <c r="D24" s="35" t="s">
        <v>83</v>
      </c>
      <c r="E24" s="36">
        <v>45072</v>
      </c>
      <c r="F24" s="36">
        <v>45437</v>
      </c>
      <c r="G24" s="103">
        <v>20241105009358</v>
      </c>
      <c r="H24" s="45">
        <v>45388</v>
      </c>
      <c r="I24" s="45">
        <v>45401</v>
      </c>
      <c r="J24" s="35" t="s">
        <v>84</v>
      </c>
      <c r="K24" s="35" t="s">
        <v>85</v>
      </c>
      <c r="L24" s="45">
        <v>46077</v>
      </c>
      <c r="M24" s="44">
        <v>1</v>
      </c>
      <c r="N24" s="44">
        <v>1</v>
      </c>
      <c r="O24" s="44">
        <v>1</v>
      </c>
      <c r="P24" s="44" t="s">
        <v>86</v>
      </c>
      <c r="Q24" s="44" t="s">
        <v>28</v>
      </c>
      <c r="R24" s="44" t="s">
        <v>28</v>
      </c>
      <c r="S24" s="63" t="s">
        <v>54</v>
      </c>
      <c r="T24" s="86">
        <v>20000000</v>
      </c>
      <c r="U24" s="87">
        <v>0</v>
      </c>
      <c r="V24" s="87">
        <v>1488700</v>
      </c>
      <c r="W24" s="37">
        <v>30</v>
      </c>
      <c r="X24" s="86">
        <v>6000000</v>
      </c>
      <c r="Y24" s="87">
        <v>0</v>
      </c>
      <c r="Z24" s="88">
        <v>446610</v>
      </c>
      <c r="AA24" s="19"/>
    </row>
    <row r="25" spans="1:27" ht="15" thickBot="1" x14ac:dyDescent="0.35">
      <c r="B25" s="70"/>
      <c r="C25" s="44">
        <v>20232940822</v>
      </c>
      <c r="D25" s="35" t="s">
        <v>83</v>
      </c>
      <c r="E25" s="36">
        <v>45072</v>
      </c>
      <c r="F25" s="36">
        <v>45437</v>
      </c>
      <c r="G25" s="103">
        <v>20241105009358</v>
      </c>
      <c r="H25" s="45">
        <v>45388</v>
      </c>
      <c r="I25" s="45"/>
      <c r="J25" s="35" t="s">
        <v>84</v>
      </c>
      <c r="K25" s="35" t="s">
        <v>85</v>
      </c>
      <c r="L25" s="45">
        <v>46077</v>
      </c>
      <c r="M25" s="44">
        <v>2</v>
      </c>
      <c r="N25" s="44">
        <v>1</v>
      </c>
      <c r="O25" s="44">
        <v>1</v>
      </c>
      <c r="P25" s="44" t="s">
        <v>86</v>
      </c>
      <c r="Q25" s="44" t="s">
        <v>28</v>
      </c>
      <c r="R25" s="44" t="s">
        <v>28</v>
      </c>
      <c r="S25" s="63" t="s">
        <v>54</v>
      </c>
      <c r="T25" s="86">
        <v>-5000000</v>
      </c>
      <c r="U25" s="87">
        <v>0</v>
      </c>
      <c r="V25" s="87">
        <v>0</v>
      </c>
      <c r="W25" s="37">
        <v>30</v>
      </c>
      <c r="X25" s="86">
        <v>-1500000</v>
      </c>
      <c r="Y25" s="87">
        <v>0</v>
      </c>
      <c r="Z25" s="88">
        <v>0</v>
      </c>
      <c r="AA25" s="19"/>
    </row>
    <row r="26" spans="1:27" ht="15" x14ac:dyDescent="0.3">
      <c r="A26" s="19" t="s">
        <v>25</v>
      </c>
      <c r="B26" s="41"/>
      <c r="C26" s="42"/>
      <c r="D26" s="42"/>
      <c r="E26" s="42"/>
      <c r="F26" s="42"/>
      <c r="G26" s="98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34" t="s">
        <v>47</v>
      </c>
      <c r="S26" s="64" t="s">
        <v>28</v>
      </c>
      <c r="T26" s="78">
        <f>SUMIF($Q$13:$Q25,$S26,T$13:T25)</f>
        <v>247311000</v>
      </c>
      <c r="U26" s="79">
        <f>SUMIF($Q$13:$Q25,$S26,U$13:U25)</f>
        <v>0</v>
      </c>
      <c r="V26" s="79">
        <f>SUMIF($R$13:$R25,$S26,V$13:V25)</f>
        <v>19204926</v>
      </c>
      <c r="W26" s="43"/>
      <c r="X26" s="78">
        <f>SUMIF($Q$13:$Q25,$S26,X$13:X25)</f>
        <v>20596100</v>
      </c>
      <c r="Y26" s="79">
        <f>SUMIF($Q$13:$Q25,$S26,Y$13:Y25)</f>
        <v>0</v>
      </c>
      <c r="Z26" s="80">
        <f>SUMIF($R$13:$R25,$S26,Z$13:Z25)</f>
        <v>2679464</v>
      </c>
      <c r="AA26" s="19"/>
    </row>
    <row r="27" spans="1:27" ht="15" x14ac:dyDescent="0.3">
      <c r="B27" s="50"/>
      <c r="C27" s="20"/>
      <c r="D27" s="20"/>
      <c r="E27" s="20"/>
      <c r="F27" s="20"/>
      <c r="G27" s="9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51" t="s">
        <v>47</v>
      </c>
      <c r="S27" s="65" t="s">
        <v>24</v>
      </c>
      <c r="T27" s="53">
        <f>SUMIF($Q$13:$Q25,$S27,T$13:T25)</f>
        <v>0</v>
      </c>
      <c r="U27" s="54">
        <f>SUMIF($Q$13:$Q25,$S27,U$13:U25)</f>
        <v>0</v>
      </c>
      <c r="V27" s="54">
        <f>SUMIF($Q$13:$Q25,$S27,V$13:V25)</f>
        <v>0</v>
      </c>
      <c r="W27" s="55"/>
      <c r="X27" s="53">
        <f>SUMIF($Q$13:$Q25,$S27,X$13:X25)</f>
        <v>0</v>
      </c>
      <c r="Y27" s="54">
        <f>SUMIF($Q$13:$Q25,$S27,Y$13:Y25)</f>
        <v>0</v>
      </c>
      <c r="Z27" s="55">
        <f>SUMIF($Q$13:$Q25,$S27,Z$13:Z25)</f>
        <v>0</v>
      </c>
      <c r="AA27" s="19"/>
    </row>
    <row r="28" spans="1:27" ht="15" x14ac:dyDescent="0.3">
      <c r="B28" s="50"/>
      <c r="C28" s="20"/>
      <c r="D28" s="20"/>
      <c r="E28" s="20"/>
      <c r="F28" s="20"/>
      <c r="G28" s="9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51" t="s">
        <v>47</v>
      </c>
      <c r="S28" s="65" t="s">
        <v>29</v>
      </c>
      <c r="T28" s="53">
        <f>SUMIF($Q$13:$Q25,$S28,T$13:T25)</f>
        <v>0</v>
      </c>
      <c r="U28" s="54">
        <f>SUMIF($Q$13:$Q25,$S28,U$13:U25)</f>
        <v>0</v>
      </c>
      <c r="V28" s="54">
        <f>SUMIF($Q$13:$Q25,$S28,V$13:V25)</f>
        <v>0</v>
      </c>
      <c r="W28" s="55"/>
      <c r="X28" s="53">
        <f>SUMIF($Q$13:$Q25,$S28,X$13:X25)</f>
        <v>0</v>
      </c>
      <c r="Y28" s="54">
        <f>SUMIF($Q$13:$Q25,$S28,Y$13:Y25)</f>
        <v>0</v>
      </c>
      <c r="Z28" s="55">
        <f>SUMIF($Q$13:$Q25,$S28,Z$13:Z25)</f>
        <v>0</v>
      </c>
      <c r="AA28" s="19"/>
    </row>
    <row r="29" spans="1:27" ht="15" x14ac:dyDescent="0.3">
      <c r="B29" s="50"/>
      <c r="C29" s="20"/>
      <c r="D29" s="20"/>
      <c r="E29" s="20"/>
      <c r="F29" s="20"/>
      <c r="G29" s="9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51" t="s">
        <v>47</v>
      </c>
      <c r="S29" s="65" t="s">
        <v>23</v>
      </c>
      <c r="T29" s="53">
        <f>SUMIF($Q$13:$Q25,$S29,T$13:T25)</f>
        <v>0</v>
      </c>
      <c r="U29" s="54">
        <f>SUMIF($Q$13:$Q25,$S29,U$13:U25)</f>
        <v>0</v>
      </c>
      <c r="V29" s="54">
        <f>SUMIF($Q$13:$Q25,$S29,V$13:V25)</f>
        <v>0</v>
      </c>
      <c r="W29" s="55"/>
      <c r="X29" s="53">
        <f>SUMIF($Q$13:$Q25,$S29,X$13:X25)</f>
        <v>0</v>
      </c>
      <c r="Y29" s="54">
        <f>SUMIF($Q$13:$Q25,$S29,Y$13:Y25)</f>
        <v>0</v>
      </c>
      <c r="Z29" s="55">
        <f>SUMIF($Q$13:$Q25,$S29,Z$13:Z25)</f>
        <v>0</v>
      </c>
      <c r="AA29" s="19"/>
    </row>
    <row r="30" spans="1:27" ht="15" x14ac:dyDescent="0.3">
      <c r="B30" s="50"/>
      <c r="C30" s="20"/>
      <c r="D30" s="20"/>
      <c r="E30" s="20"/>
      <c r="F30" s="20"/>
      <c r="G30" s="9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51" t="s">
        <v>47</v>
      </c>
      <c r="S30" s="65" t="s">
        <v>51</v>
      </c>
      <c r="T30" s="53">
        <f>SUMIF($Q$13:$Q25,$S30,T$13:T25)</f>
        <v>0</v>
      </c>
      <c r="U30" s="54">
        <f>SUMIF($Q$13:$Q25,$S30,U$13:U25)</f>
        <v>0</v>
      </c>
      <c r="V30" s="54">
        <f>SUMIF($Q$13:$Q25,$S30,V$13:V25)</f>
        <v>0</v>
      </c>
      <c r="W30" s="55"/>
      <c r="X30" s="53">
        <f>SUMIF($Q$13:$Q25,$S30,X$13:X25)</f>
        <v>0</v>
      </c>
      <c r="Y30" s="54">
        <f>SUMIF($Q$13:$Q25,$S30,Y$13:Y25)</f>
        <v>0</v>
      </c>
      <c r="Z30" s="55">
        <f>SUMIF($Q$13:$Q25,$S30,Z$13:Z25)</f>
        <v>0</v>
      </c>
      <c r="AA30" s="19"/>
    </row>
    <row r="31" spans="1:27" ht="15" x14ac:dyDescent="0.3">
      <c r="B31" s="50"/>
      <c r="C31" s="20"/>
      <c r="D31" s="20"/>
      <c r="E31" s="20"/>
      <c r="F31" s="20"/>
      <c r="G31" s="9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51" t="s">
        <v>47</v>
      </c>
      <c r="S31" s="65" t="s">
        <v>27</v>
      </c>
      <c r="T31" s="53">
        <f>SUMIF($Q$13:$Q25,$S31,T$13:T25)</f>
        <v>0</v>
      </c>
      <c r="U31" s="54">
        <f>SUMIF($Q$13:$Q25,$S31,U$13:U25)</f>
        <v>0</v>
      </c>
      <c r="V31" s="54">
        <f>SUMIF($Q$13:$Q25,$S31,V$13:V25)</f>
        <v>0</v>
      </c>
      <c r="W31" s="55"/>
      <c r="X31" s="53">
        <f>SUMIF($Q$13:$Q25,$S31,X$13:X25)</f>
        <v>0</v>
      </c>
      <c r="Y31" s="54">
        <f>SUMIF($Q$13:$Q25,$S31,Y$13:Y25)</f>
        <v>0</v>
      </c>
      <c r="Z31" s="55">
        <f>SUMIF($Q$13:$Q25,$S31,Z$13:Z25)</f>
        <v>0</v>
      </c>
      <c r="AA31" s="19"/>
    </row>
    <row r="32" spans="1:27" ht="15" x14ac:dyDescent="0.3">
      <c r="B32" s="50"/>
      <c r="C32" s="20"/>
      <c r="D32" s="20"/>
      <c r="E32" s="20"/>
      <c r="F32" s="20"/>
      <c r="G32" s="9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51" t="s">
        <v>47</v>
      </c>
      <c r="S32" s="65" t="s">
        <v>26</v>
      </c>
      <c r="T32" s="53">
        <f>SUMIF($Q$13:$Q25,$S32,T$13:T25)</f>
        <v>0</v>
      </c>
      <c r="U32" s="54">
        <f>SUMIF($Q$13:$Q25,$S32,U$13:U25)</f>
        <v>0</v>
      </c>
      <c r="V32" s="54">
        <f>SUMIF($Q$13:$Q25,$S32,V$13:V25)</f>
        <v>0</v>
      </c>
      <c r="W32" s="52"/>
      <c r="X32" s="53">
        <f>SUMIF($Q$13:$Q25,$S32,X$13:X25)</f>
        <v>0</v>
      </c>
      <c r="Y32" s="54">
        <f>SUMIF($Q$13:$Q25,$S32,Y$13:Y25)</f>
        <v>0</v>
      </c>
      <c r="Z32" s="55">
        <f>SUMIF($Q$13:$Q25,$S32,Z$13:Z25)</f>
        <v>0</v>
      </c>
      <c r="AA32" s="19"/>
    </row>
    <row r="33" spans="2:27" ht="15" x14ac:dyDescent="0.3">
      <c r="B33" s="47"/>
      <c r="C33" s="48"/>
      <c r="D33" s="48"/>
      <c r="E33" s="48"/>
      <c r="F33" s="48"/>
      <c r="G33" s="100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9" t="s">
        <v>47</v>
      </c>
      <c r="S33" s="66" t="s">
        <v>30</v>
      </c>
      <c r="T33" s="56">
        <f>SUMIF($Q$13:$Q25,$S33,T$13:T25)</f>
        <v>0</v>
      </c>
      <c r="U33" s="57">
        <f>SUMIF($Q$13:$Q25,$S33,U$13:U25)</f>
        <v>0</v>
      </c>
      <c r="V33" s="57">
        <f>SUMIF($R$13:$R25,$S33,V$13:V25)</f>
        <v>0</v>
      </c>
      <c r="W33" s="58"/>
      <c r="X33" s="56">
        <f>SUMIF($Q$13:$Q25,$S33,X$13:X25)</f>
        <v>0</v>
      </c>
      <c r="Y33" s="57">
        <f>SUMIF($Q$13:$Q25,$S33,Y$13:Y25)</f>
        <v>0</v>
      </c>
      <c r="Z33" s="58">
        <f>SUMIF($R$13:$R25,$S33,Z$13:Z25)</f>
        <v>0</v>
      </c>
      <c r="AA33" s="19"/>
    </row>
    <row r="34" spans="2:27" ht="32.25" customHeight="1" x14ac:dyDescent="0.3">
      <c r="B34" s="14"/>
      <c r="C34" s="9"/>
      <c r="E34" s="13"/>
      <c r="F34" s="13"/>
      <c r="G34" s="14"/>
      <c r="H34" s="13"/>
      <c r="I34" s="13"/>
      <c r="J34" s="13"/>
      <c r="K34" s="13"/>
      <c r="M34" s="19"/>
      <c r="N34" s="19"/>
      <c r="O34" s="19"/>
      <c r="P34" s="19"/>
      <c r="Q34" s="19"/>
      <c r="R34" s="19"/>
      <c r="S34" s="31"/>
      <c r="U34" s="74"/>
      <c r="V34" s="81"/>
      <c r="W34" s="19"/>
      <c r="X34" s="74"/>
      <c r="Y34" s="74"/>
      <c r="Z34" s="74"/>
      <c r="AA34" s="19"/>
    </row>
    <row r="35" spans="2:27" ht="15" x14ac:dyDescent="0.3">
      <c r="B35" s="4"/>
      <c r="C35" s="15"/>
      <c r="E35" s="21"/>
      <c r="F35" s="21"/>
      <c r="G35" s="101"/>
      <c r="H35" s="22"/>
      <c r="I35" s="22"/>
      <c r="J35" s="22"/>
      <c r="K35" s="22"/>
      <c r="M35" s="22"/>
      <c r="N35" s="22"/>
      <c r="O35" s="22"/>
      <c r="P35" s="22"/>
      <c r="Q35" s="23"/>
      <c r="R35" s="23"/>
      <c r="S35" s="67"/>
      <c r="T35" s="85"/>
      <c r="U35" s="85"/>
      <c r="W35" s="23"/>
      <c r="X35" s="89" t="s">
        <v>50</v>
      </c>
      <c r="Y35" s="90" t="s">
        <v>36</v>
      </c>
      <c r="Z35" s="91">
        <f t="shared" ref="Z35:Z42" si="0">SUM(X26:Z26)</f>
        <v>23275564</v>
      </c>
      <c r="AA35" s="24"/>
    </row>
    <row r="36" spans="2:27" ht="15" x14ac:dyDescent="0.3">
      <c r="B36" s="4"/>
      <c r="C36" s="15"/>
      <c r="E36" s="21"/>
      <c r="F36" s="21"/>
      <c r="G36" s="101"/>
      <c r="H36" s="22"/>
      <c r="I36" s="22"/>
      <c r="J36" s="22"/>
      <c r="K36" s="22"/>
      <c r="M36" s="22"/>
      <c r="N36" s="22"/>
      <c r="O36" s="22"/>
      <c r="P36" s="22"/>
      <c r="Q36" s="23"/>
      <c r="R36" s="23"/>
      <c r="S36" s="67"/>
      <c r="T36" s="85"/>
      <c r="U36" s="85"/>
      <c r="W36" s="23"/>
      <c r="X36" s="89"/>
      <c r="Y36" s="90" t="s">
        <v>24</v>
      </c>
      <c r="Z36" s="92">
        <f t="shared" si="0"/>
        <v>0</v>
      </c>
      <c r="AA36" s="24"/>
    </row>
    <row r="37" spans="2:27" ht="15" x14ac:dyDescent="0.3">
      <c r="B37" s="4"/>
      <c r="C37" s="15"/>
      <c r="E37" s="21"/>
      <c r="F37" s="21"/>
      <c r="G37" s="101"/>
      <c r="H37" s="22"/>
      <c r="I37" s="22"/>
      <c r="J37" s="22"/>
      <c r="K37" s="22"/>
      <c r="M37" s="22"/>
      <c r="N37" s="22"/>
      <c r="O37" s="22"/>
      <c r="P37" s="22"/>
      <c r="Q37" s="23"/>
      <c r="R37" s="23"/>
      <c r="S37" s="67"/>
      <c r="T37" s="85"/>
      <c r="U37" s="85"/>
      <c r="W37" s="23"/>
      <c r="X37" s="89"/>
      <c r="Y37" s="90" t="s">
        <v>29</v>
      </c>
      <c r="Z37" s="92">
        <f t="shared" si="0"/>
        <v>0</v>
      </c>
      <c r="AA37" s="24"/>
    </row>
    <row r="38" spans="2:27" ht="15" x14ac:dyDescent="0.3">
      <c r="B38" s="4"/>
      <c r="C38" s="15"/>
      <c r="E38" s="21"/>
      <c r="F38" s="21"/>
      <c r="G38" s="101"/>
      <c r="H38" s="22"/>
      <c r="I38" s="22"/>
      <c r="J38" s="22"/>
      <c r="K38" s="22"/>
      <c r="M38" s="22"/>
      <c r="N38" s="22"/>
      <c r="O38" s="22"/>
      <c r="P38" s="22"/>
      <c r="Q38" s="23"/>
      <c r="R38" s="23"/>
      <c r="S38" s="67"/>
      <c r="T38" s="85"/>
      <c r="U38" s="85"/>
      <c r="W38" s="23"/>
      <c r="X38" s="89"/>
      <c r="Y38" s="90" t="s">
        <v>23</v>
      </c>
      <c r="Z38" s="92">
        <f t="shared" si="0"/>
        <v>0</v>
      </c>
      <c r="AA38" s="24"/>
    </row>
    <row r="39" spans="2:27" ht="15" x14ac:dyDescent="0.3">
      <c r="B39" s="4"/>
      <c r="C39" s="15"/>
      <c r="E39" s="21"/>
      <c r="F39" s="21"/>
      <c r="G39" s="101"/>
      <c r="H39" s="22"/>
      <c r="I39" s="22"/>
      <c r="J39" s="22"/>
      <c r="K39" s="22"/>
      <c r="M39" s="22"/>
      <c r="N39" s="22"/>
      <c r="O39" s="22"/>
      <c r="P39" s="22"/>
      <c r="Q39" s="23"/>
      <c r="R39" s="23"/>
      <c r="S39" s="67"/>
      <c r="T39" s="85"/>
      <c r="U39" s="85"/>
      <c r="W39" s="23"/>
      <c r="X39" s="89"/>
      <c r="Y39" s="90" t="s">
        <v>51</v>
      </c>
      <c r="Z39" s="92">
        <f t="shared" si="0"/>
        <v>0</v>
      </c>
      <c r="AA39" s="24"/>
    </row>
    <row r="40" spans="2:27" ht="15" x14ac:dyDescent="0.3">
      <c r="B40" s="4"/>
      <c r="C40" s="15"/>
      <c r="E40" s="21"/>
      <c r="F40" s="21"/>
      <c r="G40" s="101"/>
      <c r="H40" s="22"/>
      <c r="I40" s="22"/>
      <c r="J40" s="22"/>
      <c r="K40" s="22"/>
      <c r="M40" s="22"/>
      <c r="N40" s="22"/>
      <c r="O40" s="22"/>
      <c r="P40" s="22"/>
      <c r="Q40" s="23"/>
      <c r="R40" s="23"/>
      <c r="S40" s="67"/>
      <c r="T40" s="85"/>
      <c r="U40" s="85"/>
      <c r="W40" s="23"/>
      <c r="X40" s="89"/>
      <c r="Y40" s="90" t="s">
        <v>27</v>
      </c>
      <c r="Z40" s="92">
        <f t="shared" si="0"/>
        <v>0</v>
      </c>
      <c r="AA40" s="24"/>
    </row>
    <row r="41" spans="2:27" ht="15" x14ac:dyDescent="0.3">
      <c r="B41" s="4"/>
      <c r="C41" s="15"/>
      <c r="E41" s="21"/>
      <c r="F41" s="21"/>
      <c r="G41" s="101"/>
      <c r="H41" s="22"/>
      <c r="I41" s="22"/>
      <c r="J41" s="22"/>
      <c r="K41" s="22"/>
      <c r="M41" s="22"/>
      <c r="N41" s="22"/>
      <c r="O41" s="22"/>
      <c r="P41" s="22"/>
      <c r="Q41" s="23"/>
      <c r="R41" s="23"/>
      <c r="S41" s="67"/>
      <c r="T41" s="85"/>
      <c r="U41" s="85"/>
      <c r="W41" s="23"/>
      <c r="X41" s="89"/>
      <c r="Y41" s="90" t="s">
        <v>26</v>
      </c>
      <c r="Z41" s="92">
        <f t="shared" si="0"/>
        <v>0</v>
      </c>
      <c r="AA41" s="24"/>
    </row>
    <row r="42" spans="2:27" ht="15" x14ac:dyDescent="0.3">
      <c r="B42" s="4" t="s">
        <v>13</v>
      </c>
      <c r="C42" s="15"/>
      <c r="E42" s="21"/>
      <c r="F42" s="21"/>
      <c r="G42" s="101"/>
      <c r="H42" s="22"/>
      <c r="I42" s="22"/>
      <c r="J42" s="22"/>
      <c r="K42" s="22"/>
      <c r="M42" s="22"/>
      <c r="N42" s="22"/>
      <c r="O42" s="22"/>
      <c r="P42" s="22"/>
      <c r="Q42" s="23"/>
      <c r="R42" s="23"/>
      <c r="S42" s="67"/>
      <c r="T42" s="85"/>
      <c r="U42" s="85"/>
      <c r="W42" s="23"/>
      <c r="X42" s="93"/>
      <c r="Y42" s="90" t="s">
        <v>30</v>
      </c>
      <c r="Z42" s="92">
        <f t="shared" si="0"/>
        <v>0</v>
      </c>
      <c r="AA42" s="24"/>
    </row>
    <row r="43" spans="2:27" ht="15" x14ac:dyDescent="0.3">
      <c r="B43" s="25" t="s">
        <v>8</v>
      </c>
      <c r="C43" s="15"/>
      <c r="E43" s="12"/>
      <c r="F43" s="12"/>
      <c r="G43" s="102"/>
      <c r="H43" s="12"/>
      <c r="I43" s="12"/>
      <c r="J43" s="12"/>
      <c r="K43" s="12"/>
      <c r="M43" s="12"/>
      <c r="N43" s="12"/>
      <c r="O43" s="12"/>
      <c r="P43" s="12"/>
      <c r="Q43" s="16"/>
      <c r="R43" s="16"/>
      <c r="S43" s="68"/>
      <c r="T43" s="81"/>
      <c r="U43" s="81"/>
      <c r="V43" s="81"/>
      <c r="W43" s="16"/>
      <c r="X43" s="81"/>
      <c r="Y43" s="81"/>
      <c r="Z43" s="81"/>
      <c r="AA43" s="17"/>
    </row>
    <row r="44" spans="2:27" x14ac:dyDescent="0.3">
      <c r="B44" s="4" t="s">
        <v>21</v>
      </c>
      <c r="C44" s="15"/>
      <c r="E44" s="12"/>
      <c r="F44" s="12"/>
      <c r="G44" s="102"/>
      <c r="H44" s="12"/>
      <c r="I44" s="12"/>
      <c r="J44" s="12"/>
      <c r="K44" s="12"/>
      <c r="L44" s="26"/>
      <c r="M44" s="12"/>
      <c r="N44" s="12"/>
      <c r="O44" s="12"/>
      <c r="P44" s="12"/>
      <c r="Q44" s="16"/>
      <c r="R44" s="16"/>
      <c r="S44" s="68"/>
      <c r="T44" s="81"/>
      <c r="U44" s="81"/>
      <c r="V44" s="81"/>
      <c r="W44" s="16"/>
      <c r="X44" s="81"/>
      <c r="Y44" s="81"/>
      <c r="Z44" s="81"/>
      <c r="AA44" s="17"/>
    </row>
    <row r="45" spans="2:27" x14ac:dyDescent="0.3">
      <c r="B45" s="27" t="s">
        <v>6</v>
      </c>
      <c r="C45" s="15"/>
      <c r="E45" s="12"/>
      <c r="F45" s="12"/>
      <c r="G45" s="102"/>
      <c r="H45" s="12"/>
      <c r="I45" s="12"/>
      <c r="J45" s="12"/>
      <c r="K45" s="12"/>
      <c r="L45" s="18"/>
      <c r="M45" s="12"/>
      <c r="N45" s="12"/>
      <c r="O45" s="12"/>
      <c r="P45" s="12"/>
      <c r="Q45" s="16"/>
      <c r="R45" s="16"/>
      <c r="S45" s="68"/>
      <c r="T45" s="81"/>
      <c r="U45" s="81"/>
      <c r="V45" s="81"/>
      <c r="W45" s="16"/>
      <c r="X45" s="81"/>
      <c r="Y45" s="81"/>
      <c r="Z45" s="82"/>
      <c r="AA45" s="28"/>
    </row>
    <row r="46" spans="2:27" x14ac:dyDescent="0.3">
      <c r="B46" s="4" t="s">
        <v>19</v>
      </c>
      <c r="C46" s="15"/>
      <c r="E46" s="12"/>
      <c r="F46" s="12"/>
      <c r="G46" s="102"/>
      <c r="H46" s="12"/>
      <c r="I46" s="12"/>
      <c r="J46" s="12"/>
      <c r="K46" s="12"/>
      <c r="L46" s="18"/>
      <c r="M46" s="29"/>
      <c r="N46" s="29"/>
      <c r="O46" s="29"/>
      <c r="P46" s="29"/>
      <c r="Q46" s="5"/>
      <c r="R46" s="5"/>
      <c r="S46" s="68"/>
      <c r="T46" s="81"/>
      <c r="U46" s="81"/>
      <c r="V46" s="81"/>
      <c r="W46" s="16"/>
      <c r="X46" s="82"/>
      <c r="Y46" s="82"/>
      <c r="Z46" s="82"/>
      <c r="AA46" s="30"/>
    </row>
    <row r="47" spans="2:27" ht="15" x14ac:dyDescent="0.3">
      <c r="B47" s="25" t="s">
        <v>7</v>
      </c>
      <c r="C47" s="15"/>
      <c r="E47" s="12"/>
      <c r="F47" s="12"/>
      <c r="G47" s="102"/>
      <c r="H47" s="12"/>
      <c r="I47" s="12"/>
      <c r="J47" s="12"/>
      <c r="K47" s="12"/>
      <c r="L47" s="18"/>
      <c r="M47" s="29"/>
      <c r="N47" s="29"/>
      <c r="O47" s="29"/>
      <c r="P47" s="29"/>
      <c r="Q47" s="5"/>
      <c r="R47" s="5"/>
      <c r="S47" s="68"/>
      <c r="T47" s="81"/>
      <c r="U47" s="81"/>
      <c r="V47" s="81"/>
      <c r="W47" s="28"/>
      <c r="X47" s="82"/>
      <c r="Z47" s="83" t="s">
        <v>16</v>
      </c>
      <c r="AA47" s="30"/>
    </row>
    <row r="48" spans="2:27" x14ac:dyDescent="0.3">
      <c r="B48" s="4" t="s">
        <v>22</v>
      </c>
      <c r="C48" s="15"/>
      <c r="E48" s="12"/>
      <c r="F48" s="12"/>
      <c r="G48" s="102"/>
      <c r="H48" s="12"/>
      <c r="I48" s="12"/>
      <c r="J48" s="12"/>
      <c r="K48" s="12"/>
      <c r="L48" s="18"/>
      <c r="M48" s="12"/>
      <c r="N48" s="12"/>
      <c r="O48" s="12"/>
      <c r="P48" s="12"/>
      <c r="Q48" s="16"/>
      <c r="R48" s="16"/>
      <c r="S48" s="68"/>
      <c r="T48" s="81"/>
      <c r="U48" s="81"/>
      <c r="V48" s="81"/>
      <c r="W48" s="16"/>
      <c r="X48" s="81"/>
      <c r="Z48" s="83" t="s">
        <v>15</v>
      </c>
      <c r="AA48" s="17"/>
    </row>
    <row r="49" spans="2:28" x14ac:dyDescent="0.3">
      <c r="B49" s="27" t="s">
        <v>49</v>
      </c>
      <c r="C49" s="15"/>
      <c r="E49" s="12"/>
      <c r="F49" s="12"/>
      <c r="G49" s="102"/>
      <c r="H49" s="12"/>
      <c r="I49" s="12"/>
      <c r="J49" s="12"/>
      <c r="K49" s="12"/>
      <c r="L49" s="18"/>
      <c r="M49" s="12"/>
      <c r="N49" s="12"/>
      <c r="O49" s="12"/>
      <c r="P49" s="12"/>
      <c r="Q49" s="16"/>
      <c r="R49" s="16"/>
      <c r="S49" s="68"/>
      <c r="T49" s="81"/>
      <c r="U49" s="81"/>
      <c r="V49" s="81"/>
      <c r="W49" s="16"/>
      <c r="X49" s="81"/>
      <c r="Y49" s="81"/>
      <c r="Z49" s="81"/>
      <c r="AA49" s="17"/>
    </row>
    <row r="50" spans="2:28" s="5" customFormat="1" x14ac:dyDescent="0.3">
      <c r="B50" s="27"/>
      <c r="C50" s="19"/>
      <c r="D50" s="19"/>
      <c r="E50" s="19"/>
      <c r="F50" s="19"/>
      <c r="G50" s="27"/>
      <c r="H50" s="19"/>
      <c r="I50" s="19"/>
      <c r="J50" s="19"/>
      <c r="K50" s="19"/>
      <c r="L50" s="26"/>
      <c r="M50" s="19"/>
      <c r="N50" s="19"/>
      <c r="O50" s="19"/>
      <c r="P50" s="19"/>
      <c r="S50" s="68"/>
      <c r="T50" s="81"/>
      <c r="U50" s="81"/>
      <c r="V50" s="81"/>
      <c r="W50" s="16"/>
      <c r="X50" s="81"/>
      <c r="Y50" s="81"/>
      <c r="Z50" s="73"/>
      <c r="AB50" s="19"/>
    </row>
    <row r="51" spans="2:28" x14ac:dyDescent="0.3">
      <c r="S51" s="68"/>
      <c r="T51" s="81"/>
      <c r="U51" s="81"/>
      <c r="V51" s="81"/>
    </row>
    <row r="52" spans="2:28" x14ac:dyDescent="0.3">
      <c r="S52" s="68"/>
      <c r="T52" s="81"/>
      <c r="U52" s="81"/>
      <c r="V52" s="81"/>
    </row>
    <row r="53" spans="2:28" x14ac:dyDescent="0.3">
      <c r="S53" s="68"/>
      <c r="T53" s="81"/>
      <c r="U53" s="81"/>
      <c r="V53" s="81"/>
    </row>
    <row r="54" spans="2:28" x14ac:dyDescent="0.3">
      <c r="S54" s="68"/>
      <c r="T54" s="81"/>
      <c r="U54" s="81"/>
      <c r="V54" s="81"/>
    </row>
    <row r="55" spans="2:28" x14ac:dyDescent="0.3">
      <c r="S55" s="68"/>
      <c r="T55" s="81"/>
      <c r="U55" s="81"/>
      <c r="V55" s="81"/>
    </row>
  </sheetData>
  <autoFilter ref="B12:Z33"/>
  <phoneticPr fontId="14" type="noConversion"/>
  <pageMargins left="0.31486111879348755" right="0.31486111879348755" top="0.35430556535720825" bottom="0.35430556535720825" header="0.31486111879348755" footer="0.31486111879348755"/>
  <pageSetup paperSize="9" scale="43" orientation="landscape" horizontalDpi="4294967295" verticalDpi="4294967295"/>
  <headerFooter>
    <oddFooter>&amp;R&amp;"맑은 고딕,Regular"&amp;P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</dc:creator>
  <cp:lastModifiedBy>kbins</cp:lastModifiedBy>
  <cp:revision>1</cp:revision>
  <cp:lastPrinted>2021-07-22T06:20:48Z</cp:lastPrinted>
  <dcterms:created xsi:type="dcterms:W3CDTF">2015-09-20T23:40:45Z</dcterms:created>
  <dcterms:modified xsi:type="dcterms:W3CDTF">2026-03-23T07:09:19Z</dcterms:modified>
  <cp:version>1000.0100.01</cp:version>
</cp:coreProperties>
</file>