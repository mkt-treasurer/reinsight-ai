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아웃룩 전달파일\(((재보험금 리스트 발송)))\SOC 발송여부\발송예정 SOC\SOC발송준비건\"/>
    </mc:Choice>
  </mc:AlternateContent>
  <bookViews>
    <workbookView xWindow="735" yWindow="1080" windowWidth="35700" windowHeight="19890" tabRatio="847"/>
  </bookViews>
  <sheets>
    <sheet name="OS List" sheetId="1" r:id="rId1"/>
  </sheets>
  <definedNames>
    <definedName name="_xlnm._FilterDatabase" localSheetId="0" hidden="1">'OS List'!$B$12:$Y$33</definedName>
    <definedName name="_xlnm.Print_Titles" localSheetId="0">'OS List'!#REF!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X33" i="1"/>
  <c r="W33" i="1"/>
  <c r="U33" i="1"/>
  <c r="T33" i="1"/>
  <c r="S33" i="1"/>
  <c r="Y32" i="1"/>
  <c r="X32" i="1"/>
  <c r="W32" i="1"/>
  <c r="U32" i="1"/>
  <c r="T32" i="1"/>
  <c r="S32" i="1"/>
  <c r="Y31" i="1"/>
  <c r="X31" i="1"/>
  <c r="W31" i="1"/>
  <c r="U31" i="1"/>
  <c r="T31" i="1"/>
  <c r="S31" i="1"/>
  <c r="Y30" i="1"/>
  <c r="X30" i="1"/>
  <c r="W30" i="1"/>
  <c r="U30" i="1"/>
  <c r="T30" i="1"/>
  <c r="S30" i="1"/>
  <c r="Y29" i="1"/>
  <c r="X29" i="1"/>
  <c r="W29" i="1"/>
  <c r="U29" i="1"/>
  <c r="T29" i="1"/>
  <c r="S29" i="1"/>
  <c r="Y28" i="1"/>
  <c r="X28" i="1"/>
  <c r="W28" i="1"/>
  <c r="U28" i="1"/>
  <c r="T28" i="1"/>
  <c r="S28" i="1"/>
  <c r="Y27" i="1"/>
  <c r="X27" i="1"/>
  <c r="W27" i="1"/>
  <c r="U27" i="1"/>
  <c r="T27" i="1"/>
  <c r="S27" i="1"/>
</calcChain>
</file>

<file path=xl/sharedStrings.xml><?xml version="1.0" encoding="utf-8"?>
<sst xmlns="http://schemas.openxmlformats.org/spreadsheetml/2006/main" count="149" uniqueCount="95">
  <si>
    <r>
      <rPr>
        <sz val="11"/>
        <color rgb="FF000000"/>
        <rFont val="맑은 고딕"/>
        <family val="3"/>
        <charset val="129"/>
      </rPr>
      <t xml:space="preserve">계약자명
</t>
    </r>
    <r>
      <rPr>
        <sz val="11"/>
        <color rgb="FF000000"/>
        <rFont val="Arial"/>
        <family val="2"/>
      </rPr>
      <t>(Insured)</t>
    </r>
  </si>
  <si>
    <r>
      <rPr>
        <sz val="11"/>
        <color rgb="FF000000"/>
        <rFont val="맑은 고딕"/>
        <family val="3"/>
        <charset val="129"/>
      </rPr>
      <t xml:space="preserve">접수번호
</t>
    </r>
    <r>
      <rPr>
        <sz val="11"/>
        <color rgb="FF000000"/>
        <rFont val="Arial"/>
        <family val="2"/>
      </rPr>
      <t>(KB Ref)</t>
    </r>
  </si>
  <si>
    <r>
      <rPr>
        <sz val="11"/>
        <color rgb="FF000000"/>
        <rFont val="맑은 고딕"/>
        <family val="3"/>
        <charset val="129"/>
      </rPr>
      <t xml:space="preserve">보험종료일
</t>
    </r>
    <r>
      <rPr>
        <sz val="11"/>
        <color rgb="FF000000"/>
        <rFont val="Arial"/>
        <family val="2"/>
      </rPr>
      <t>(Expiry)</t>
    </r>
  </si>
  <si>
    <t>KB Insurance</t>
  </si>
  <si>
    <r>
      <rPr>
        <sz val="11"/>
        <color rgb="FF000000"/>
        <rFont val="맑은 고딕"/>
        <family val="3"/>
        <charset val="129"/>
      </rPr>
      <t xml:space="preserve">재해명
</t>
    </r>
    <r>
      <rPr>
        <sz val="11"/>
        <color rgb="FF000000"/>
        <rFont val="Arial"/>
        <family val="2"/>
      </rPr>
      <t>(Casualty)</t>
    </r>
  </si>
  <si>
    <r>
      <rPr>
        <sz val="11"/>
        <color rgb="FF000000"/>
        <rFont val="맑은 고딕"/>
        <family val="3"/>
        <charset val="129"/>
      </rPr>
      <t xml:space="preserve">추산일자
</t>
    </r>
    <r>
      <rPr>
        <sz val="11"/>
        <color rgb="FF000000"/>
        <rFont val="Arial"/>
        <family val="2"/>
      </rPr>
      <t>(OS Date)</t>
    </r>
  </si>
  <si>
    <r>
      <rPr>
        <sz val="11"/>
        <color rgb="FF000000"/>
        <rFont val="맑은 고딕"/>
        <family val="3"/>
        <charset val="129"/>
      </rPr>
      <t xml:space="preserve">배상청구일자
</t>
    </r>
    <r>
      <rPr>
        <sz val="11"/>
        <color rgb="FF000000"/>
        <rFont val="Arial"/>
        <family val="2"/>
      </rPr>
      <t>(DOC)</t>
    </r>
  </si>
  <si>
    <t>General Manager in charge of General Insurance Claim Department</t>
  </si>
  <si>
    <t>Sang-Jae Son / Authorized Representative</t>
  </si>
  <si>
    <t>EUR</t>
  </si>
  <si>
    <t>AUD</t>
  </si>
  <si>
    <t xml:space="preserve"> </t>
  </si>
  <si>
    <t>YEN</t>
  </si>
  <si>
    <t>STG</t>
  </si>
  <si>
    <t>WON</t>
  </si>
  <si>
    <t>CAD</t>
  </si>
  <si>
    <t>USD</t>
  </si>
  <si>
    <r>
      <rPr>
        <sz val="11"/>
        <color rgb="FF000000"/>
        <rFont val="맑은 고딕"/>
        <family val="3"/>
        <charset val="129"/>
      </rPr>
      <t xml:space="preserve">재보험금
</t>
    </r>
    <r>
      <rPr>
        <sz val="11"/>
        <color rgb="FF000000"/>
        <rFont val="Arial"/>
        <family val="2"/>
      </rPr>
      <t>(Ceded OS Loss_Indemnity)</t>
    </r>
  </si>
  <si>
    <r>
      <rPr>
        <sz val="11"/>
        <color rgb="FF000000"/>
        <rFont val="맑은 고딕"/>
        <family val="3"/>
        <charset val="129"/>
      </rPr>
      <t>재보험금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(Ceded OS Loss_Others)</t>
    </r>
  </si>
  <si>
    <t>Teheran-ro, Gangnam-gu, Seoul</t>
  </si>
  <si>
    <t>Dear Sirs,</t>
  </si>
  <si>
    <t>06134 Korea</t>
  </si>
  <si>
    <r>
      <rPr>
        <sz val="11"/>
        <color rgb="FF000000"/>
        <rFont val="맑은 고딕"/>
        <family val="3"/>
        <charset val="129"/>
      </rPr>
      <t xml:space="preserve">상품명
</t>
    </r>
    <r>
      <rPr>
        <sz val="11"/>
        <color rgb="FF000000"/>
        <rFont val="Arial"/>
        <family val="2"/>
      </rPr>
      <t>(LoB)</t>
    </r>
  </si>
  <si>
    <r>
      <rPr>
        <sz val="11"/>
        <color rgb="FF000000"/>
        <rFont val="맑은 고딕"/>
        <family val="3"/>
        <charset val="129"/>
      </rPr>
      <t xml:space="preserve">사고일자
</t>
    </r>
    <r>
      <rPr>
        <sz val="11"/>
        <color rgb="FF000000"/>
        <rFont val="Arial"/>
        <family val="2"/>
      </rPr>
      <t>(DOL)</t>
    </r>
  </si>
  <si>
    <r>
      <rPr>
        <sz val="11"/>
        <color rgb="FF000000"/>
        <rFont val="맑은 고딕"/>
        <family val="3"/>
        <charset val="129"/>
      </rPr>
      <t xml:space="preserve">보험개시일
</t>
    </r>
    <r>
      <rPr>
        <sz val="11"/>
        <color rgb="FF000000"/>
        <rFont val="Arial"/>
        <family val="2"/>
      </rPr>
      <t>(Inception)</t>
    </r>
  </si>
  <si>
    <r>
      <rPr>
        <sz val="11"/>
        <color rgb="FF000000"/>
        <rFont val="맑은 고딕"/>
        <family val="3"/>
        <charset val="129"/>
      </rPr>
      <t xml:space="preserve">추산차수
</t>
    </r>
    <r>
      <rPr>
        <sz val="11"/>
        <color rgb="FF000000"/>
        <rFont val="Arial"/>
        <family val="2"/>
      </rPr>
      <t>(OS Serial)</t>
    </r>
  </si>
  <si>
    <r>
      <rPr>
        <sz val="11"/>
        <color rgb="FF000000"/>
        <rFont val="맑은 고딕"/>
        <family val="3"/>
        <charset val="129"/>
      </rPr>
      <t>증권번호</t>
    </r>
    <r>
      <rPr>
        <sz val="11"/>
        <color rgb="FF000000"/>
        <rFont val="Arial"/>
        <family val="2"/>
      </rPr>
      <t xml:space="preserve"> 
(Policy No)</t>
    </r>
  </si>
  <si>
    <r>
      <rPr>
        <sz val="11"/>
        <color rgb="FF000000"/>
        <rFont val="돋움"/>
        <family val="3"/>
        <charset val="129"/>
      </rPr>
      <t xml:space="preserve">목적물번호
</t>
    </r>
    <r>
      <rPr>
        <sz val="11"/>
        <color rgb="FF000000"/>
        <rFont val="Arial"/>
        <family val="2"/>
      </rPr>
      <t>(Item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</si>
  <si>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(Currency_Claim)</t>
    </r>
  </si>
  <si>
    <r>
      <rPr>
        <sz val="11"/>
        <color rgb="FF000000"/>
        <rFont val="맑은 고딕"/>
        <family val="3"/>
        <charset val="129"/>
      </rPr>
      <t xml:space="preserve">원보험금
</t>
    </r>
    <r>
      <rPr>
        <sz val="11"/>
        <color rgb="FF000000"/>
        <rFont val="Arial"/>
        <family val="2"/>
      </rPr>
      <t>(OS Loss_Indemnity)</t>
    </r>
  </si>
  <si>
    <r>
      <rPr>
        <sz val="11"/>
        <color rgb="FF000000"/>
        <rFont val="맑은 고딕"/>
        <family val="3"/>
        <charset val="129"/>
      </rPr>
      <t>원보험금</t>
    </r>
    <r>
      <rPr>
        <sz val="11"/>
        <color rgb="FF000000"/>
        <rFont val="Arial"/>
        <family val="2"/>
      </rPr>
      <t>_</t>
    </r>
    <r>
      <rPr>
        <sz val="11"/>
        <color rgb="FF000000"/>
        <rFont val="맑은 고딕"/>
        <family val="3"/>
        <charset val="129"/>
      </rPr>
      <t xml:space="preserve">기타
</t>
    </r>
    <r>
      <rPr>
        <sz val="11"/>
        <color rgb="FF000000"/>
        <rFont val="Arial"/>
        <family val="2"/>
      </rPr>
      <t>(OS Loss_Others)</t>
    </r>
  </si>
  <si>
    <r>
      <rPr>
        <sz val="11"/>
        <color rgb="FF000000"/>
        <rFont val="맑은 고딕"/>
        <family val="3"/>
        <charset val="129"/>
      </rPr>
      <t>출재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손해조사비
</t>
    </r>
    <r>
      <rPr>
        <sz val="11"/>
        <color rgb="FF000000"/>
        <rFont val="Arial"/>
        <family val="2"/>
      </rPr>
      <t>(Ceded OS Expense)</t>
    </r>
  </si>
  <si>
    <r>
      <rPr>
        <sz val="11"/>
        <color rgb="FF000000"/>
        <rFont val="맑은 고딕"/>
        <family val="3"/>
        <charset val="129"/>
      </rPr>
      <t xml:space="preserve">사고내용
</t>
    </r>
    <r>
      <rPr>
        <sz val="11"/>
        <color rgb="FF000000"/>
        <rFont val="Arial"/>
        <family val="2"/>
      </rPr>
      <t>(Loss Description)</t>
    </r>
  </si>
  <si>
    <r>
      <rPr>
        <sz val="11"/>
        <color rgb="FF000000"/>
        <rFont val="맑은 고딕"/>
        <family val="3"/>
        <charset val="129"/>
      </rPr>
      <t>원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 xml:space="preserve">손해조사비
</t>
    </r>
    <r>
      <rPr>
        <sz val="11"/>
        <color rgb="FF000000"/>
        <rFont val="Arial"/>
        <family val="2"/>
      </rPr>
      <t>(OS Expense)</t>
    </r>
  </si>
  <si>
    <r>
      <rPr>
        <sz val="11"/>
        <color rgb="FF000000"/>
        <rFont val="맑은 고딕"/>
        <family val="3"/>
        <charset val="129"/>
      </rPr>
      <t>출재율</t>
    </r>
    <r>
      <rPr>
        <sz val="11"/>
        <color rgb="FF000000"/>
        <rFont val="Arial"/>
        <family val="2"/>
      </rPr>
      <t>(%)
Your Share(%)</t>
    </r>
  </si>
  <si>
    <r>
      <rPr>
        <sz val="11"/>
        <color rgb="FF000000"/>
        <rFont val="돋움"/>
        <family val="3"/>
        <charset val="129"/>
      </rPr>
      <t xml:space="preserve">출재단위번호
</t>
    </r>
    <r>
      <rPr>
        <sz val="11"/>
        <color rgb="FF000000"/>
        <rFont val="Arial"/>
        <family val="2"/>
      </rPr>
      <t>(Cession Serial)</t>
    </r>
  </si>
  <si>
    <r>
      <rPr>
        <sz val="11"/>
        <color rgb="FF000000"/>
        <rFont val="맑은 고딕"/>
        <family val="3"/>
        <charset val="129"/>
      </rPr>
      <t xml:space="preserve">화폐
</t>
    </r>
    <r>
      <rPr>
        <sz val="11"/>
        <color rgb="FF000000"/>
        <rFont val="Arial"/>
        <family val="2"/>
      </rPr>
      <t>(Currency_Expense)</t>
    </r>
  </si>
  <si>
    <r>
      <rPr>
        <sz val="11"/>
        <color rgb="FF000000"/>
        <rFont val="돋움"/>
        <family val="3"/>
        <charset val="129"/>
      </rPr>
      <t xml:space="preserve">담보코드
</t>
    </r>
    <r>
      <rPr>
        <sz val="11"/>
        <color rgb="FF000000"/>
        <rFont val="Arial"/>
        <family val="2"/>
      </rPr>
      <t>(Coverage Code)</t>
    </r>
  </si>
  <si>
    <t>KB Insurance Bldg., 117,</t>
  </si>
  <si>
    <t>Total</t>
  </si>
  <si>
    <t>To :</t>
  </si>
  <si>
    <t>Outstanding loss advice (Till FEBRUARY 2026)</t>
  </si>
  <si>
    <t>DAEWOO INS</t>
  </si>
  <si>
    <t>Commercial General Liability(I)</t>
  </si>
  <si>
    <t>지에스건설(주)</t>
  </si>
  <si>
    <t>정박된 바지선에 어선이 충돌</t>
  </si>
  <si>
    <t>안*열</t>
  </si>
  <si>
    <t>GLC011</t>
  </si>
  <si>
    <t>-</t>
  </si>
  <si>
    <t>소음, 분진에 의한 민원</t>
  </si>
  <si>
    <t>광명 에코자</t>
  </si>
  <si>
    <t>소음분진에 의한 민원피해</t>
  </si>
  <si>
    <t>방배그랑자이</t>
  </si>
  <si>
    <t>개포프레지던스자이(4단지) _ 소음분진민원</t>
  </si>
  <si>
    <t>개포프레지던</t>
  </si>
  <si>
    <t>DMC센트럴자이 _ 철거진행에 따른 주변 경계 담장 파손(경부교통건 포함)</t>
  </si>
  <si>
    <t>담장</t>
  </si>
  <si>
    <t>Contractual Liability Insurance(III)</t>
  </si>
  <si>
    <t>(주)KB국민카드</t>
  </si>
  <si>
    <t>dcds 실사용 사고번호</t>
  </si>
  <si>
    <t>재해물</t>
  </si>
  <si>
    <t>GR6191</t>
  </si>
  <si>
    <t>영문전문인배상책임보험</t>
  </si>
  <si>
    <t>(주)인터파크</t>
  </si>
  <si>
    <t>버스 운행중 타이어 펑크로 인해 중앙분리대와 충돌하여  승객 부상 .....#이메일 전달..*  o42o  16추가등기</t>
  </si>
  <si>
    <t>구*진</t>
  </si>
  <si>
    <t>GLC046</t>
  </si>
  <si>
    <t>주식회사 노랑풍선</t>
  </si>
  <si>
    <t>ATV전복사고..★ 2o2o.6.15일 : 소송발생보고 통신지 발송함 . 김정훈 차장....*타사무..말레이시아 통1 : 2o18_o923..국내 입 : ..2o18_o9_25~1o_o7..2o19_o3_o7~o3_15..국내 통 :..통6 : 2o18_1o_o4~2o19_o2_18 [서울아산병원]..통18 : 2o18_12_12~2o19_o3_o5 [연세척척재활의학과]..통5 : 2o18_11_o7~2o18_12_o3 [엠앤비정형외과재활의학과]..약3 : 2o18_11o6/1123/2o19_o116 [나루역사거리현대약국]..=========================2o18_o9_25~18o일까지 보상.  2o19.o3.19....  ☆후유장해진단서 포함</t>
  </si>
  <si>
    <t>박*혜</t>
  </si>
  <si>
    <t>자유투어</t>
  </si>
  <si>
    <t>버스에서 내리다 엉덩이 부상..#메일.... 논산시에서 당사 피보험자 상대로 구상금 청구됨</t>
  </si>
  <si>
    <t>정연희</t>
  </si>
  <si>
    <t>영문조립보험(독일식)</t>
  </si>
  <si>
    <t>강릉에코파워(주)</t>
  </si>
  <si>
    <t>당사 공사로 인해 양식장 해수취수가 원활하지 못하여 영업손실 등 피해 주장(소송)</t>
  </si>
  <si>
    <t>GG1920</t>
  </si>
  <si>
    <t>재산종합보험(Package I)</t>
  </si>
  <si>
    <t>(주)하이프라자</t>
  </si>
  <si>
    <t>포항지진으로 인한 제품 및 인테리어 피해 사고 접수 건..1. 대잠점(사옥).. _ 주차장 출입문 파손.. _ 2층 소물 떨어짐.. _ 2층 천장 등 파손.. _ 지점장 : 김윤희 o1o_233o_2895.. ..2. 우현점(임차).. _ 출입문 틀어짐.. _ 외벽철판 떨어짐.. _ 외부 경계석 틀어짐.. _ 지점장 : 이동훈 o1o_9966_2481.. ..3. 포항본점(사옥).. _ 천정 에어컨과 택스 벌어짐.. _ 택스 떨어짐.. _ 화장실 변기 누수.. _ 지점장 : 이정희 o1o_2363_1145.. ..4. 노서점(임차).. _ 건물균열발생.. _ 바닥 벽돌 틀어짐.. _ 지점장 : 김동현 o1o_898o_o636</t>
  </si>
  <si>
    <t>전자제품</t>
  </si>
  <si>
    <t>GP0831</t>
  </si>
  <si>
    <t>국문임원배상책임보험</t>
  </si>
  <si>
    <t>아시아나항공(주)</t>
  </si>
  <si>
    <t>아시아나항공D&amp;O/18.7.13. 아시아나항공 소액주주들이 박삼구회장 및 경영진의 회사기회 유용 및 임무해태 등을 이유로 소제기 청구 (청구일 7.13) 3oo억원 _ 1?</t>
  </si>
  <si>
    <t>재해자</t>
  </si>
  <si>
    <t>GK4013</t>
  </si>
  <si>
    <t>국제화물업자운송책임보험</t>
  </si>
  <si>
    <t>(주)판토스</t>
  </si>
  <si>
    <t>1. 원 고: National Insurance Company SAA (법률대리인: YASSI Boualem ).2. 운 송 구 간: 마산, 한국 _ Arzew, 알제리.3. BL No: PLIHQ4537571, PLIHQ4537552,PLIHQ4537546.4. 사 고 일 시: 2o15.o7.14.5. 피청구금액: 27,657,5o5.6o DZD(252,o46,72o원).6. 사 고 내 용: 마산에서 Arzew항으로 해상운송된 화물이 도착항에서 확인결과, 일부 손상되었으.며 해상 운송 중 취급부주의에 의한 것으로 추정.7. 첨 부 서 류: 알제리 대사관으로부터 수취한 결석재판 통지문</t>
  </si>
  <si>
    <t>화물</t>
  </si>
  <si>
    <t>GLC031</t>
  </si>
  <si>
    <t>HP Bucket, Diaphragm 손상에 따른 보험 접수</t>
  </si>
  <si>
    <t>HP Bucket, D</t>
  </si>
  <si>
    <t>GG1910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</si>
</sst>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0_);[Red]\(0\)"/>
    <numFmt numFmtId="177" formatCode="0.000%"/>
    <numFmt numFmtId="178" formatCode="[$-409]mmm&quot;-&quot;yy;@"/>
    <numFmt numFmtId="179" formatCode="_-* #,##0.00_-;\-* #,##0.00_-;_-* &quot;-&quot;_-;_-@_-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u/>
      <sz val="16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41" fontId="10" fillId="0" borderId="0">
      <alignment vertical="center"/>
    </xf>
    <xf numFmtId="0" fontId="2" fillId="0" borderId="0"/>
    <xf numFmtId="0" fontId="10" fillId="0" borderId="0">
      <alignment vertical="center"/>
    </xf>
  </cellStyleXfs>
  <cellXfs count="103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14" fontId="4" fillId="0" borderId="0" xfId="2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41" fontId="4" fillId="0" borderId="0" xfId="1" applyFont="1">
      <alignment vertical="center"/>
    </xf>
    <xf numFmtId="177" fontId="4" fillId="0" borderId="0" xfId="1" applyNumberFormat="1" applyFont="1">
      <alignment vertical="center"/>
    </xf>
    <xf numFmtId="41" fontId="4" fillId="0" borderId="0" xfId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0" fontId="3" fillId="0" borderId="0" xfId="3" applyFont="1" applyAlignment="1">
      <alignment horizontal="center" vertical="center"/>
    </xf>
    <xf numFmtId="49" fontId="5" fillId="0" borderId="0" xfId="2" applyNumberFormat="1" applyFont="1" applyAlignment="1">
      <alignment horizontal="centerContinuous" vertical="center"/>
    </xf>
    <xf numFmtId="178" fontId="4" fillId="0" borderId="0" xfId="2" applyNumberFormat="1" applyFont="1" applyAlignment="1">
      <alignment vertical="center"/>
    </xf>
    <xf numFmtId="0" fontId="6" fillId="0" borderId="0" xfId="3" applyFont="1" applyProtection="1">
      <alignment vertical="center"/>
      <protection locked="0"/>
    </xf>
    <xf numFmtId="49" fontId="3" fillId="0" borderId="0" xfId="3" applyNumberFormat="1" applyFont="1">
      <alignment vertical="center"/>
    </xf>
    <xf numFmtId="176" fontId="3" fillId="0" borderId="0" xfId="3" applyNumberFormat="1" applyFont="1">
      <alignment vertical="center"/>
    </xf>
    <xf numFmtId="0" fontId="6" fillId="0" borderId="0" xfId="3" applyFont="1" applyAlignment="1">
      <alignment horizontal="center" vertical="center"/>
    </xf>
    <xf numFmtId="41" fontId="6" fillId="0" borderId="0" xfId="1" applyFont="1" applyProtection="1">
      <alignment vertical="center"/>
      <protection locked="0"/>
    </xf>
    <xf numFmtId="177" fontId="6" fillId="0" borderId="0" xfId="1" applyNumberFormat="1" applyFont="1" applyProtection="1">
      <alignment vertical="center"/>
      <protection locked="0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176" fontId="4" fillId="0" borderId="0" xfId="2" applyNumberFormat="1" applyFont="1" applyAlignment="1">
      <alignment horizontal="left" vertical="center"/>
    </xf>
    <xf numFmtId="49" fontId="6" fillId="0" borderId="0" xfId="3" applyNumberFormat="1" applyFont="1">
      <alignment vertical="center"/>
    </xf>
    <xf numFmtId="0" fontId="6" fillId="0" borderId="0" xfId="3" applyFont="1">
      <alignment vertical="center"/>
    </xf>
    <xf numFmtId="41" fontId="6" fillId="0" borderId="0" xfId="1" applyFont="1">
      <alignment vertical="center"/>
    </xf>
    <xf numFmtId="176" fontId="7" fillId="0" borderId="0" xfId="2" applyNumberFormat="1" applyFont="1" applyAlignment="1">
      <alignment horizontal="left" vertical="center"/>
    </xf>
    <xf numFmtId="176" fontId="4" fillId="0" borderId="0" xfId="0" applyNumberFormat="1" applyFont="1">
      <alignment vertical="center"/>
    </xf>
    <xf numFmtId="0" fontId="4" fillId="0" borderId="0" xfId="3" applyFont="1">
      <alignment vertical="center"/>
    </xf>
    <xf numFmtId="49" fontId="4" fillId="0" borderId="0" xfId="3" applyNumberFormat="1" applyFont="1">
      <alignment vertical="center"/>
    </xf>
    <xf numFmtId="0" fontId="8" fillId="0" borderId="0" xfId="0" applyFont="1" applyAlignment="1">
      <alignment horizontal="right" vertical="center"/>
    </xf>
    <xf numFmtId="14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7" fillId="0" borderId="2" xfId="1" applyNumberFormat="1" applyFont="1" applyBorder="1" applyAlignment="1">
      <alignment horizontal="center" vertical="center" shrinkToFit="1"/>
    </xf>
    <xf numFmtId="3" fontId="7" fillId="0" borderId="3" xfId="1" applyNumberFormat="1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4" fillId="0" borderId="2" xfId="0" applyFont="1" applyBorder="1">
      <alignment vertical="center"/>
    </xf>
    <xf numFmtId="41" fontId="7" fillId="0" borderId="9" xfId="0" applyNumberFormat="1" applyFont="1" applyBorder="1">
      <alignment vertical="center"/>
    </xf>
    <xf numFmtId="41" fontId="7" fillId="0" borderId="10" xfId="0" applyNumberFormat="1" applyFont="1" applyBorder="1">
      <alignment vertical="center"/>
    </xf>
    <xf numFmtId="49" fontId="9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3" fontId="7" fillId="0" borderId="12" xfId="1" applyNumberFormat="1" applyFont="1" applyBorder="1" applyAlignment="1">
      <alignment horizontal="center" vertical="center" shrinkToFit="1"/>
    </xf>
    <xf numFmtId="3" fontId="7" fillId="0" borderId="13" xfId="1" applyNumberFormat="1" applyFont="1" applyBorder="1" applyAlignment="1">
      <alignment horizontal="center" vertical="center" shrinkToFit="1"/>
    </xf>
    <xf numFmtId="0" fontId="4" fillId="0" borderId="14" xfId="0" applyFont="1" applyBorder="1">
      <alignment vertical="center"/>
    </xf>
    <xf numFmtId="3" fontId="7" fillId="0" borderId="15" xfId="1" applyNumberFormat="1" applyFont="1" applyBorder="1" applyAlignment="1">
      <alignment horizontal="center" vertical="center" shrinkToFit="1"/>
    </xf>
    <xf numFmtId="41" fontId="7" fillId="0" borderId="16" xfId="0" applyNumberFormat="1" applyFont="1" applyBorder="1">
      <alignment vertical="center"/>
    </xf>
    <xf numFmtId="3" fontId="7" fillId="0" borderId="1" xfId="1" applyNumberFormat="1" applyFont="1" applyBorder="1" applyAlignment="1">
      <alignment horizontal="center" vertical="center" shrinkToFit="1"/>
    </xf>
    <xf numFmtId="0" fontId="4" fillId="0" borderId="17" xfId="0" applyFont="1" applyBorder="1">
      <alignment vertical="center"/>
    </xf>
    <xf numFmtId="0" fontId="4" fillId="0" borderId="17" xfId="0" applyFont="1" applyBorder="1" applyAlignment="1">
      <alignment horizontal="center" vertical="center"/>
    </xf>
    <xf numFmtId="14" fontId="4" fillId="0" borderId="17" xfId="0" applyNumberFormat="1" applyFont="1" applyBorder="1">
      <alignment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1" fontId="4" fillId="0" borderId="19" xfId="0" applyNumberFormat="1" applyFont="1" applyBorder="1">
      <alignment vertical="center"/>
    </xf>
    <xf numFmtId="179" fontId="7" fillId="0" borderId="14" xfId="0" applyNumberFormat="1" applyFont="1" applyBorder="1">
      <alignment vertical="center"/>
    </xf>
    <xf numFmtId="179" fontId="7" fillId="0" borderId="1" xfId="0" applyNumberFormat="1" applyFont="1" applyBorder="1">
      <alignment vertical="center"/>
    </xf>
    <xf numFmtId="179" fontId="7" fillId="0" borderId="16" xfId="0" applyNumberFormat="1" applyFont="1" applyBorder="1">
      <alignment vertical="center"/>
    </xf>
    <xf numFmtId="179" fontId="7" fillId="0" borderId="11" xfId="0" applyNumberFormat="1" applyFont="1" applyBorder="1">
      <alignment vertical="center"/>
    </xf>
    <xf numFmtId="179" fontId="7" fillId="0" borderId="12" xfId="0" applyNumberFormat="1" applyFont="1" applyBorder="1">
      <alignment vertical="center"/>
    </xf>
    <xf numFmtId="179" fontId="7" fillId="0" borderId="9" xfId="0" applyNumberFormat="1" applyFont="1" applyBorder="1">
      <alignment vertical="center"/>
    </xf>
    <xf numFmtId="14" fontId="4" fillId="0" borderId="0" xfId="2" applyNumberFormat="1" applyFont="1" applyAlignment="1">
      <alignment horizontal="left" vertical="center"/>
    </xf>
    <xf numFmtId="14" fontId="5" fillId="0" borderId="0" xfId="2" applyNumberFormat="1" applyFont="1" applyAlignment="1">
      <alignment horizontal="centerContinuous" vertical="center"/>
    </xf>
    <xf numFmtId="14" fontId="4" fillId="2" borderId="5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>
      <alignment vertical="center"/>
    </xf>
    <xf numFmtId="14" fontId="4" fillId="0" borderId="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14" fontId="4" fillId="0" borderId="0" xfId="0" applyNumberFormat="1" applyFont="1" applyAlignment="1">
      <alignment horizontal="left" vertical="center"/>
    </xf>
    <xf numFmtId="14" fontId="6" fillId="0" borderId="0" xfId="3" applyNumberFormat="1" applyFont="1" applyAlignment="1" applyProtection="1">
      <alignment horizontal="left" vertical="center"/>
      <protection locked="0"/>
    </xf>
    <xf numFmtId="0" fontId="4" fillId="0" borderId="20" xfId="0" applyFont="1" applyBorder="1">
      <alignment vertical="center"/>
    </xf>
    <xf numFmtId="179" fontId="4" fillId="0" borderId="0" xfId="1" applyNumberFormat="1" applyFont="1" applyAlignment="1">
      <alignment horizontal="center" vertical="center"/>
    </xf>
    <xf numFmtId="179" fontId="5" fillId="0" borderId="0" xfId="2" applyNumberFormat="1" applyFont="1" applyAlignment="1">
      <alignment horizontal="centerContinuous" vertical="center"/>
    </xf>
    <xf numFmtId="179" fontId="4" fillId="0" borderId="0" xfId="1" applyNumberFormat="1" applyFont="1">
      <alignment vertical="center"/>
    </xf>
    <xf numFmtId="179" fontId="4" fillId="0" borderId="0" xfId="0" applyNumberFormat="1" applyFont="1">
      <alignment vertical="center"/>
    </xf>
    <xf numFmtId="179" fontId="4" fillId="2" borderId="4" xfId="0" applyNumberFormat="1" applyFont="1" applyFill="1" applyBorder="1" applyAlignment="1">
      <alignment horizontal="center" vertical="center" wrapText="1"/>
    </xf>
    <xf numFmtId="179" fontId="4" fillId="2" borderId="5" xfId="0" applyNumberFormat="1" applyFont="1" applyFill="1" applyBorder="1" applyAlignment="1">
      <alignment horizontal="center" vertical="center" wrapText="1"/>
    </xf>
    <xf numFmtId="179" fontId="4" fillId="2" borderId="7" xfId="0" applyNumberFormat="1" applyFont="1" applyFill="1" applyBorder="1" applyAlignment="1">
      <alignment horizontal="center" vertical="center" wrapText="1"/>
    </xf>
    <xf numFmtId="179" fontId="4" fillId="0" borderId="20" xfId="0" applyNumberFormat="1" applyFont="1" applyBorder="1">
      <alignment vertical="center"/>
    </xf>
    <xf numFmtId="179" fontId="4" fillId="0" borderId="17" xfId="0" applyNumberFormat="1" applyFont="1" applyBorder="1">
      <alignment vertical="center"/>
    </xf>
    <xf numFmtId="179" fontId="4" fillId="0" borderId="19" xfId="0" applyNumberFormat="1" applyFont="1" applyBorder="1">
      <alignment vertical="center"/>
    </xf>
    <xf numFmtId="179" fontId="7" fillId="0" borderId="8" xfId="0" applyNumberFormat="1" applyFont="1" applyBorder="1">
      <alignment vertical="center"/>
    </xf>
    <xf numFmtId="179" fontId="7" fillId="0" borderId="2" xfId="0" applyNumberFormat="1" applyFont="1" applyBorder="1">
      <alignment vertical="center"/>
    </xf>
    <xf numFmtId="179" fontId="7" fillId="0" borderId="10" xfId="0" applyNumberFormat="1" applyFont="1" applyBorder="1">
      <alignment vertical="center"/>
    </xf>
    <xf numFmtId="179" fontId="6" fillId="0" borderId="0" xfId="1" applyNumberFormat="1" applyFont="1" applyProtection="1">
      <alignment vertical="center"/>
      <protection locked="0"/>
    </xf>
    <xf numFmtId="179" fontId="4" fillId="0" borderId="0" xfId="3" applyNumberFormat="1" applyFont="1">
      <alignment vertical="center"/>
    </xf>
    <xf numFmtId="179" fontId="8" fillId="0" borderId="0" xfId="0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79" fontId="6" fillId="0" borderId="0" xfId="1" applyNumberFormat="1" applyFont="1">
      <alignment vertical="center"/>
    </xf>
    <xf numFmtId="179" fontId="4" fillId="0" borderId="0" xfId="0" applyNumberFormat="1" applyFont="1" applyAlignment="1">
      <alignment horizontal="center" vertical="center"/>
    </xf>
    <xf numFmtId="176" fontId="4" fillId="0" borderId="0" xfId="2" applyNumberFormat="1" applyFont="1" applyAlignment="1">
      <alignment vertical="center"/>
    </xf>
    <xf numFmtId="176" fontId="5" fillId="0" borderId="0" xfId="2" applyNumberFormat="1" applyFont="1" applyAlignment="1">
      <alignment horizontal="centerContinuous" vertical="center"/>
    </xf>
    <xf numFmtId="176" fontId="4" fillId="0" borderId="0" xfId="2" applyNumberFormat="1" applyFont="1" applyAlignment="1">
      <alignment horizontal="right" vertical="center"/>
    </xf>
    <xf numFmtId="176" fontId="4" fillId="2" borderId="5" xfId="0" applyNumberFormat="1" applyFont="1" applyFill="1" applyBorder="1" applyAlignment="1">
      <alignment horizontal="center" vertical="center" wrapText="1"/>
    </xf>
    <xf numFmtId="176" fontId="6" fillId="0" borderId="0" xfId="3" applyNumberFormat="1" applyFont="1">
      <alignment vertical="center"/>
    </xf>
    <xf numFmtId="176" fontId="6" fillId="0" borderId="0" xfId="3" applyNumberFormat="1" applyFont="1" applyProtection="1">
      <alignment vertical="center"/>
      <protection locked="0"/>
    </xf>
    <xf numFmtId="176" fontId="4" fillId="0" borderId="17" xfId="0" applyNumberFormat="1" applyFont="1" applyBorder="1">
      <alignment vertical="center"/>
    </xf>
    <xf numFmtId="176" fontId="4" fillId="0" borderId="2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176" fontId="4" fillId="0" borderId="12" xfId="0" applyNumberFormat="1" applyFont="1" applyBorder="1">
      <alignment vertical="center"/>
    </xf>
    <xf numFmtId="179" fontId="4" fillId="0" borderId="20" xfId="0" applyNumberFormat="1" applyFont="1" applyFill="1" applyBorder="1">
      <alignment vertical="center"/>
    </xf>
    <xf numFmtId="179" fontId="4" fillId="0" borderId="17" xfId="0" applyNumberFormat="1" applyFont="1" applyFill="1" applyBorder="1">
      <alignment vertical="center"/>
    </xf>
  </cellXfs>
  <cellStyles count="4">
    <cellStyle name="쉼표 [0]" xfId="1" builtinId="6"/>
    <cellStyle name="표준" xfId="0" builtinId="0"/>
    <cellStyle name="표준 2" xfId="3"/>
    <cellStyle name="표준_SUM_FAC SoA_Sep~Oct 2008_Brdx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981075</xdr:colOff>
      <xdr:row>0</xdr:row>
      <xdr:rowOff>52451</xdr:rowOff>
    </xdr:from>
    <xdr:to>
      <xdr:col>24</xdr:col>
      <xdr:colOff>685799</xdr:colOff>
      <xdr:row>5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47856320" y="108857"/>
          <a:ext cx="5538107" cy="2081892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1419225</xdr:colOff>
      <xdr:row>35</xdr:row>
      <xdr:rowOff>19050</xdr:rowOff>
    </xdr:from>
    <xdr:to>
      <xdr:col>24</xdr:col>
      <xdr:colOff>1185926</xdr:colOff>
      <xdr:row>38</xdr:row>
      <xdr:rowOff>28575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48740788" y="127185960"/>
          <a:ext cx="5646964" cy="1279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00CC"/>
  </sheetPr>
  <dimension ref="A1:AA44"/>
  <sheetViews>
    <sheetView tabSelected="1" zoomScale="70" zoomScaleNormal="70" zoomScaleSheetLayoutView="75" workbookViewId="0">
      <pane xSplit="3" ySplit="12" topLeftCell="D13" activePane="bottomRight" state="frozen"/>
      <selection pane="topRight"/>
      <selection pane="bottomLeft"/>
      <selection pane="bottomRight" activeCell="I24" sqref="I24"/>
    </sheetView>
  </sheetViews>
  <sheetFormatPr defaultColWidth="9" defaultRowHeight="14.25" outlineLevelCol="1" x14ac:dyDescent="0.3"/>
  <cols>
    <col min="1" max="1" width="2.75" style="17" customWidth="1"/>
    <col min="2" max="2" width="24" style="17" customWidth="1"/>
    <col min="3" max="3" width="16.875" style="24" customWidth="1"/>
    <col min="4" max="4" width="14.125" style="17" customWidth="1"/>
    <col min="5" max="6" width="11.125" style="17" customWidth="1"/>
    <col min="7" max="7" width="19.375" style="24" customWidth="1"/>
    <col min="8" max="9" width="14.375" style="17" customWidth="1"/>
    <col min="10" max="10" width="17" style="17" customWidth="1"/>
    <col min="11" max="11" width="11.375" style="17" customWidth="1"/>
    <col min="12" max="12" width="14.75" style="28" customWidth="1"/>
    <col min="13" max="13" width="12.125" style="29" customWidth="1"/>
    <col min="14" max="16" width="12.125" style="29" hidden="1" customWidth="1" outlineLevel="1"/>
    <col min="17" max="17" width="16.375" style="30" customWidth="1" collapsed="1"/>
    <col min="18" max="18" width="19.875" style="30" customWidth="1"/>
    <col min="19" max="19" width="24.75" style="90" customWidth="1"/>
    <col min="20" max="20" width="18.875" style="74" customWidth="1"/>
    <col min="21" max="21" width="21" style="74" customWidth="1"/>
    <col min="22" max="22" width="17" style="4" customWidth="1"/>
    <col min="23" max="23" width="23" style="74" customWidth="1"/>
    <col min="24" max="25" width="17.125" style="74" customWidth="1"/>
    <col min="26" max="26" width="17.125" style="4" customWidth="1"/>
    <col min="27" max="27" width="11.625" style="4" customWidth="1"/>
    <col min="28" max="28" width="1.375" style="17" customWidth="1"/>
    <col min="29" max="29" width="11.875" style="17" bestFit="1" customWidth="1"/>
    <col min="30" max="16384" width="9" style="17"/>
  </cols>
  <sheetData>
    <row r="1" spans="1:27" s="1" customFormat="1" x14ac:dyDescent="0.3">
      <c r="D1" s="11"/>
      <c r="E1" s="2"/>
      <c r="F1" s="2"/>
      <c r="G1" s="91"/>
      <c r="H1" s="3"/>
      <c r="I1" s="3"/>
      <c r="J1" s="3"/>
      <c r="K1" s="3"/>
      <c r="L1" s="63"/>
      <c r="M1" s="3"/>
      <c r="N1" s="3"/>
      <c r="O1" s="3"/>
      <c r="P1" s="3"/>
      <c r="Q1" s="4"/>
      <c r="R1" s="4"/>
      <c r="S1" s="74"/>
      <c r="T1" s="74"/>
      <c r="U1" s="74"/>
      <c r="V1" s="5"/>
      <c r="W1" s="72"/>
      <c r="X1" s="72"/>
      <c r="Y1" s="72"/>
      <c r="Z1" s="4"/>
    </row>
    <row r="2" spans="1:27" s="1" customFormat="1" x14ac:dyDescent="0.3">
      <c r="B2" s="1" t="s">
        <v>3</v>
      </c>
      <c r="D2" s="11"/>
      <c r="E2" s="2"/>
      <c r="F2" s="2"/>
      <c r="G2" s="91"/>
      <c r="H2" s="3"/>
      <c r="I2" s="3"/>
      <c r="J2" s="3"/>
      <c r="K2" s="3"/>
      <c r="L2" s="63"/>
      <c r="M2" s="3"/>
      <c r="N2" s="3"/>
      <c r="O2" s="3"/>
      <c r="P2" s="3"/>
      <c r="Q2" s="4"/>
      <c r="R2" s="4"/>
      <c r="S2" s="74"/>
      <c r="T2" s="74"/>
      <c r="U2" s="74"/>
      <c r="V2" s="5"/>
      <c r="W2" s="72"/>
      <c r="X2" s="72"/>
      <c r="Y2" s="72"/>
      <c r="Z2" s="4"/>
    </row>
    <row r="3" spans="1:27" s="1" customFormat="1" x14ac:dyDescent="0.3">
      <c r="B3" s="1" t="s">
        <v>38</v>
      </c>
      <c r="D3" s="11"/>
      <c r="E3" s="10"/>
      <c r="F3" s="10"/>
      <c r="G3" s="91"/>
      <c r="H3" s="3"/>
      <c r="I3" s="3"/>
      <c r="J3" s="3"/>
      <c r="K3" s="3"/>
      <c r="L3" s="63"/>
      <c r="M3" s="3"/>
      <c r="N3" s="3"/>
      <c r="O3" s="3"/>
      <c r="P3" s="3"/>
      <c r="Q3" s="4"/>
      <c r="R3" s="4"/>
      <c r="S3" s="74"/>
      <c r="T3" s="74"/>
      <c r="U3" s="74"/>
      <c r="V3" s="5"/>
      <c r="W3" s="72"/>
      <c r="X3" s="72"/>
      <c r="Y3" s="72"/>
      <c r="Z3" s="4"/>
    </row>
    <row r="4" spans="1:27" s="1" customFormat="1" x14ac:dyDescent="0.3">
      <c r="B4" s="1" t="s">
        <v>19</v>
      </c>
      <c r="D4" s="11"/>
      <c r="E4" s="2"/>
      <c r="F4" s="2"/>
      <c r="G4" s="91"/>
      <c r="H4" s="3"/>
      <c r="I4" s="3"/>
      <c r="J4" s="3"/>
      <c r="K4" s="3"/>
      <c r="L4" s="63"/>
      <c r="M4" s="3"/>
      <c r="N4" s="3"/>
      <c r="O4" s="3"/>
      <c r="P4" s="3"/>
      <c r="Q4" s="4"/>
      <c r="R4" s="4"/>
      <c r="S4" s="74"/>
      <c r="T4" s="74"/>
      <c r="U4" s="74"/>
      <c r="V4" s="5"/>
      <c r="W4" s="72"/>
      <c r="X4" s="72"/>
      <c r="Y4" s="72"/>
      <c r="Z4" s="4"/>
    </row>
    <row r="5" spans="1:27" s="1" customFormat="1" x14ac:dyDescent="0.3">
      <c r="B5" s="1" t="s">
        <v>21</v>
      </c>
      <c r="D5" s="11"/>
      <c r="E5" s="2"/>
      <c r="F5" s="2"/>
      <c r="G5" s="91"/>
      <c r="H5" s="3"/>
      <c r="I5" s="3"/>
      <c r="J5" s="3"/>
      <c r="K5" s="3"/>
      <c r="L5" s="63"/>
      <c r="M5" s="3"/>
      <c r="N5" s="3"/>
      <c r="O5" s="3"/>
      <c r="P5" s="3"/>
      <c r="Q5" s="4"/>
      <c r="R5" s="4"/>
      <c r="S5" s="74"/>
      <c r="T5" s="74"/>
      <c r="U5" s="74"/>
      <c r="V5" s="5"/>
      <c r="W5" s="72"/>
      <c r="X5" s="72"/>
      <c r="Y5" s="72"/>
      <c r="Z5" s="4"/>
    </row>
    <row r="6" spans="1:27" s="1" customFormat="1" ht="9.75" customHeight="1" x14ac:dyDescent="0.3">
      <c r="B6" s="17"/>
      <c r="D6" s="11"/>
      <c r="E6" s="2"/>
      <c r="F6" s="2"/>
      <c r="G6" s="91"/>
      <c r="H6" s="3"/>
      <c r="I6" s="3"/>
      <c r="J6" s="3"/>
      <c r="K6" s="3"/>
      <c r="L6" s="63"/>
      <c r="M6" s="3"/>
      <c r="N6" s="3"/>
      <c r="O6" s="3"/>
      <c r="P6" s="3"/>
      <c r="Q6" s="4"/>
      <c r="R6" s="4"/>
      <c r="S6" s="74"/>
      <c r="T6" s="74"/>
      <c r="U6" s="74"/>
      <c r="V6" s="5"/>
      <c r="W6" s="72"/>
      <c r="X6" s="72"/>
      <c r="Y6" s="72"/>
    </row>
    <row r="7" spans="1:27" s="1" customFormat="1" x14ac:dyDescent="0.3">
      <c r="B7" s="17" t="s">
        <v>20</v>
      </c>
      <c r="D7" s="11"/>
      <c r="E7" s="2"/>
      <c r="F7" s="2"/>
      <c r="G7" s="91"/>
      <c r="H7" s="3"/>
      <c r="I7" s="3"/>
      <c r="J7" s="3"/>
      <c r="K7" s="3"/>
      <c r="L7" s="63"/>
      <c r="M7" s="3"/>
      <c r="N7" s="3"/>
      <c r="O7" s="3"/>
      <c r="P7" s="3"/>
      <c r="Q7" s="4"/>
      <c r="R7" s="4"/>
      <c r="S7" s="74"/>
      <c r="T7" s="74"/>
      <c r="U7" s="74"/>
      <c r="V7" s="5"/>
      <c r="W7" s="72"/>
      <c r="X7" s="72"/>
      <c r="Y7" s="72"/>
    </row>
    <row r="8" spans="1:27" s="3" customFormat="1" ht="20.45" customHeight="1" x14ac:dyDescent="0.3">
      <c r="B8" s="9" t="s">
        <v>41</v>
      </c>
      <c r="C8" s="9"/>
      <c r="D8" s="9"/>
      <c r="E8" s="9"/>
      <c r="F8" s="9"/>
      <c r="G8" s="92"/>
      <c r="H8" s="9"/>
      <c r="I8" s="9"/>
      <c r="J8" s="9"/>
      <c r="K8" s="9"/>
      <c r="L8" s="64"/>
      <c r="M8" s="9"/>
      <c r="N8" s="9"/>
      <c r="O8" s="9"/>
      <c r="P8" s="9"/>
      <c r="Q8" s="9"/>
      <c r="R8" s="9"/>
      <c r="S8" s="73"/>
      <c r="T8" s="73"/>
      <c r="U8" s="73"/>
      <c r="V8" s="9"/>
      <c r="W8" s="73"/>
      <c r="X8" s="73"/>
      <c r="Y8" s="73"/>
      <c r="Z8" s="9"/>
    </row>
    <row r="9" spans="1:27" s="1" customFormat="1" x14ac:dyDescent="0.3">
      <c r="D9" s="3"/>
      <c r="E9" s="2"/>
      <c r="F9" s="2"/>
      <c r="G9" s="93"/>
      <c r="H9" s="3"/>
      <c r="I9" s="3"/>
      <c r="J9" s="3"/>
      <c r="K9" s="3"/>
      <c r="L9" s="63"/>
      <c r="M9" s="3"/>
      <c r="N9" s="3"/>
      <c r="O9" s="3"/>
      <c r="P9" s="3"/>
      <c r="Q9" s="6"/>
      <c r="R9" s="6"/>
      <c r="S9" s="88"/>
      <c r="T9" s="88"/>
      <c r="U9" s="88"/>
      <c r="V9" s="7"/>
      <c r="W9" s="72"/>
      <c r="X9" s="74"/>
      <c r="Y9" s="74"/>
      <c r="Z9" s="4"/>
    </row>
    <row r="10" spans="1:27" s="1" customFormat="1" ht="18" x14ac:dyDescent="0.3">
      <c r="B10" s="41" t="s">
        <v>40</v>
      </c>
      <c r="C10" s="42" t="s">
        <v>42</v>
      </c>
      <c r="D10" s="3"/>
      <c r="E10" s="2"/>
      <c r="F10" s="2"/>
      <c r="G10" s="91"/>
      <c r="H10" s="3"/>
      <c r="I10" s="3"/>
      <c r="J10" s="3"/>
      <c r="K10" s="3"/>
      <c r="L10" s="63"/>
      <c r="M10" s="3"/>
      <c r="N10" s="3"/>
      <c r="O10" s="3"/>
      <c r="P10" s="3"/>
      <c r="Q10" s="4"/>
      <c r="R10" s="4"/>
      <c r="S10" s="74"/>
      <c r="T10" s="74"/>
      <c r="U10" s="74"/>
      <c r="V10" s="5"/>
      <c r="W10" s="72"/>
      <c r="X10" s="72"/>
      <c r="Y10" s="72"/>
      <c r="Z10" s="4"/>
    </row>
    <row r="11" spans="1:27" x14ac:dyDescent="0.3">
      <c r="C11" s="17"/>
      <c r="M11" s="17"/>
      <c r="N11" s="17"/>
      <c r="O11" s="17"/>
      <c r="P11" s="17"/>
      <c r="Q11" s="17"/>
      <c r="R11" s="17"/>
      <c r="S11" s="75"/>
      <c r="T11" s="75"/>
      <c r="U11" s="75"/>
      <c r="V11" s="17"/>
      <c r="W11" s="75"/>
      <c r="X11" s="75"/>
      <c r="Y11" s="75"/>
      <c r="Z11" s="17"/>
      <c r="AA11" s="17"/>
    </row>
    <row r="12" spans="1:27" ht="59.45" customHeight="1" x14ac:dyDescent="0.3">
      <c r="B12" s="33" t="s">
        <v>22</v>
      </c>
      <c r="C12" s="34" t="s">
        <v>26</v>
      </c>
      <c r="D12" s="34" t="s">
        <v>0</v>
      </c>
      <c r="E12" s="34" t="s">
        <v>24</v>
      </c>
      <c r="F12" s="34" t="s">
        <v>2</v>
      </c>
      <c r="G12" s="94" t="s">
        <v>1</v>
      </c>
      <c r="H12" s="34" t="s">
        <v>23</v>
      </c>
      <c r="I12" s="34" t="s">
        <v>6</v>
      </c>
      <c r="J12" s="34" t="s">
        <v>32</v>
      </c>
      <c r="K12" s="34" t="s">
        <v>4</v>
      </c>
      <c r="L12" s="65" t="s">
        <v>5</v>
      </c>
      <c r="M12" s="34" t="s">
        <v>25</v>
      </c>
      <c r="N12" s="34" t="s">
        <v>27</v>
      </c>
      <c r="O12" s="34" t="s">
        <v>35</v>
      </c>
      <c r="P12" s="34" t="s">
        <v>37</v>
      </c>
      <c r="Q12" s="34" t="s">
        <v>28</v>
      </c>
      <c r="R12" s="35" t="s">
        <v>36</v>
      </c>
      <c r="S12" s="76" t="s">
        <v>29</v>
      </c>
      <c r="T12" s="77" t="s">
        <v>30</v>
      </c>
      <c r="U12" s="77" t="s">
        <v>33</v>
      </c>
      <c r="V12" s="36" t="s">
        <v>34</v>
      </c>
      <c r="W12" s="76" t="s">
        <v>17</v>
      </c>
      <c r="X12" s="77" t="s">
        <v>18</v>
      </c>
      <c r="Y12" s="78" t="s">
        <v>31</v>
      </c>
      <c r="Z12" s="17"/>
      <c r="AA12" s="17"/>
    </row>
    <row r="13" spans="1:27" x14ac:dyDescent="0.3">
      <c r="A13" s="17" t="s">
        <v>42</v>
      </c>
      <c r="B13" s="71" t="s">
        <v>43</v>
      </c>
      <c r="C13" s="52">
        <v>20144582090</v>
      </c>
      <c r="D13" s="51" t="s">
        <v>44</v>
      </c>
      <c r="E13" s="53">
        <v>41918</v>
      </c>
      <c r="F13" s="53">
        <v>42282</v>
      </c>
      <c r="G13" s="97">
        <v>20160001191241</v>
      </c>
      <c r="H13" s="54">
        <v>42176</v>
      </c>
      <c r="I13" s="54">
        <v>42436</v>
      </c>
      <c r="J13" s="51" t="s">
        <v>45</v>
      </c>
      <c r="K13" s="51" t="s">
        <v>46</v>
      </c>
      <c r="L13" s="54">
        <v>46049</v>
      </c>
      <c r="M13" s="52">
        <v>48</v>
      </c>
      <c r="N13" s="52">
        <v>1</v>
      </c>
      <c r="O13" s="52">
        <v>1</v>
      </c>
      <c r="P13" s="52" t="s">
        <v>47</v>
      </c>
      <c r="Q13" s="52" t="s">
        <v>14</v>
      </c>
      <c r="R13" s="55" t="s">
        <v>14</v>
      </c>
      <c r="S13" s="79">
        <v>1</v>
      </c>
      <c r="T13" s="80">
        <v>0</v>
      </c>
      <c r="U13" s="80">
        <v>16500000</v>
      </c>
      <c r="V13" s="56">
        <v>5</v>
      </c>
      <c r="W13" s="79">
        <v>0</v>
      </c>
      <c r="X13" s="80">
        <v>0</v>
      </c>
      <c r="Y13" s="81">
        <v>825000</v>
      </c>
    </row>
    <row r="14" spans="1:27" x14ac:dyDescent="0.3">
      <c r="B14" s="71"/>
      <c r="C14" s="52">
        <v>20174657089</v>
      </c>
      <c r="D14" s="51" t="s">
        <v>44</v>
      </c>
      <c r="E14" s="53">
        <v>43014</v>
      </c>
      <c r="F14" s="53">
        <v>43378</v>
      </c>
      <c r="G14" s="97">
        <v>20190114016833</v>
      </c>
      <c r="H14" s="54">
        <v>43320</v>
      </c>
      <c r="I14" s="54" t="s">
        <v>48</v>
      </c>
      <c r="J14" s="51" t="s">
        <v>49</v>
      </c>
      <c r="K14" s="51" t="s">
        <v>50</v>
      </c>
      <c r="L14" s="54">
        <v>44812</v>
      </c>
      <c r="M14" s="52">
        <v>2</v>
      </c>
      <c r="N14" s="52">
        <v>1</v>
      </c>
      <c r="O14" s="52">
        <v>1</v>
      </c>
      <c r="P14" s="52" t="s">
        <v>47</v>
      </c>
      <c r="Q14" s="52" t="s">
        <v>14</v>
      </c>
      <c r="R14" s="55" t="s">
        <v>14</v>
      </c>
      <c r="S14" s="79">
        <v>380000000</v>
      </c>
      <c r="T14" s="80">
        <v>0</v>
      </c>
      <c r="U14" s="80">
        <v>10000000</v>
      </c>
      <c r="V14" s="56">
        <v>10</v>
      </c>
      <c r="W14" s="79">
        <v>38000000</v>
      </c>
      <c r="X14" s="80">
        <v>0</v>
      </c>
      <c r="Y14" s="81">
        <v>1000000</v>
      </c>
    </row>
    <row r="15" spans="1:27" x14ac:dyDescent="0.3">
      <c r="B15" s="71"/>
      <c r="C15" s="52">
        <v>20174657089</v>
      </c>
      <c r="D15" s="51" t="s">
        <v>44</v>
      </c>
      <c r="E15" s="53">
        <v>43014</v>
      </c>
      <c r="F15" s="53">
        <v>43378</v>
      </c>
      <c r="G15" s="97">
        <v>20200818015468</v>
      </c>
      <c r="H15" s="54">
        <v>43231</v>
      </c>
      <c r="I15" s="54" t="s">
        <v>48</v>
      </c>
      <c r="J15" s="51" t="s">
        <v>51</v>
      </c>
      <c r="K15" s="51" t="s">
        <v>52</v>
      </c>
      <c r="L15" s="54">
        <v>45348</v>
      </c>
      <c r="M15" s="52">
        <v>1</v>
      </c>
      <c r="N15" s="52">
        <v>1</v>
      </c>
      <c r="O15" s="52">
        <v>1</v>
      </c>
      <c r="P15" s="52" t="s">
        <v>47</v>
      </c>
      <c r="Q15" s="52" t="s">
        <v>14</v>
      </c>
      <c r="R15" s="55" t="s">
        <v>14</v>
      </c>
      <c r="S15" s="79">
        <v>246540000</v>
      </c>
      <c r="T15" s="80">
        <v>0</v>
      </c>
      <c r="U15" s="80">
        <v>10000000</v>
      </c>
      <c r="V15" s="56">
        <v>10</v>
      </c>
      <c r="W15" s="79">
        <v>24654000</v>
      </c>
      <c r="X15" s="80">
        <v>0</v>
      </c>
      <c r="Y15" s="81">
        <v>1000000</v>
      </c>
    </row>
    <row r="16" spans="1:27" x14ac:dyDescent="0.3">
      <c r="B16" s="71"/>
      <c r="C16" s="52">
        <v>20174657089</v>
      </c>
      <c r="D16" s="51" t="s">
        <v>44</v>
      </c>
      <c r="E16" s="53">
        <v>43014</v>
      </c>
      <c r="F16" s="53">
        <v>43378</v>
      </c>
      <c r="G16" s="97">
        <v>20210730014015</v>
      </c>
      <c r="H16" s="54">
        <v>43293</v>
      </c>
      <c r="I16" s="54" t="s">
        <v>48</v>
      </c>
      <c r="J16" s="51" t="s">
        <v>53</v>
      </c>
      <c r="K16" s="51" t="s">
        <v>54</v>
      </c>
      <c r="L16" s="54">
        <v>45845</v>
      </c>
      <c r="M16" s="52">
        <v>3</v>
      </c>
      <c r="N16" s="52">
        <v>1</v>
      </c>
      <c r="O16" s="52">
        <v>1</v>
      </c>
      <c r="P16" s="52" t="s">
        <v>47</v>
      </c>
      <c r="Q16" s="52" t="s">
        <v>14</v>
      </c>
      <c r="R16" s="55" t="s">
        <v>14</v>
      </c>
      <c r="S16" s="79">
        <v>1095000000</v>
      </c>
      <c r="T16" s="80">
        <v>0</v>
      </c>
      <c r="U16" s="80">
        <v>25000000</v>
      </c>
      <c r="V16" s="56">
        <v>10</v>
      </c>
      <c r="W16" s="79">
        <v>109500000</v>
      </c>
      <c r="X16" s="80">
        <v>0</v>
      </c>
      <c r="Y16" s="81">
        <v>2500000</v>
      </c>
    </row>
    <row r="17" spans="1:27" x14ac:dyDescent="0.3">
      <c r="B17" s="71"/>
      <c r="C17" s="52">
        <v>20174657089</v>
      </c>
      <c r="D17" s="51" t="s">
        <v>44</v>
      </c>
      <c r="E17" s="53">
        <v>43014</v>
      </c>
      <c r="F17" s="53">
        <v>43378</v>
      </c>
      <c r="G17" s="97">
        <v>20220412002530</v>
      </c>
      <c r="H17" s="54">
        <v>43344</v>
      </c>
      <c r="I17" s="54" t="s">
        <v>48</v>
      </c>
      <c r="J17" s="51" t="s">
        <v>55</v>
      </c>
      <c r="K17" s="51" t="s">
        <v>56</v>
      </c>
      <c r="L17" s="54">
        <v>46037</v>
      </c>
      <c r="M17" s="52">
        <v>20</v>
      </c>
      <c r="N17" s="52">
        <v>1</v>
      </c>
      <c r="O17" s="52">
        <v>1</v>
      </c>
      <c r="P17" s="52" t="s">
        <v>47</v>
      </c>
      <c r="Q17" s="52" t="s">
        <v>14</v>
      </c>
      <c r="R17" s="55" t="s">
        <v>14</v>
      </c>
      <c r="S17" s="101">
        <v>1</v>
      </c>
      <c r="T17" s="102">
        <v>0</v>
      </c>
      <c r="U17" s="80">
        <v>2470000</v>
      </c>
      <c r="V17" s="56">
        <v>10</v>
      </c>
      <c r="W17" s="79">
        <v>0</v>
      </c>
      <c r="X17" s="80">
        <v>0</v>
      </c>
      <c r="Y17" s="81">
        <v>247000</v>
      </c>
    </row>
    <row r="18" spans="1:27" x14ac:dyDescent="0.3">
      <c r="B18" s="71" t="s">
        <v>57</v>
      </c>
      <c r="C18" s="52">
        <v>20202264702</v>
      </c>
      <c r="D18" s="51" t="s">
        <v>58</v>
      </c>
      <c r="E18" s="53">
        <v>43933</v>
      </c>
      <c r="F18" s="53">
        <v>44297</v>
      </c>
      <c r="G18" s="97">
        <v>20230821043898</v>
      </c>
      <c r="H18" s="54">
        <v>44224</v>
      </c>
      <c r="I18" s="54">
        <v>44224</v>
      </c>
      <c r="J18" s="51" t="s">
        <v>59</v>
      </c>
      <c r="K18" s="51" t="s">
        <v>60</v>
      </c>
      <c r="L18" s="54">
        <v>45159</v>
      </c>
      <c r="M18" s="52">
        <v>0</v>
      </c>
      <c r="N18" s="52">
        <v>1</v>
      </c>
      <c r="O18" s="52">
        <v>1</v>
      </c>
      <c r="P18" s="52" t="s">
        <v>61</v>
      </c>
      <c r="Q18" s="52" t="s">
        <v>14</v>
      </c>
      <c r="R18" s="55" t="s">
        <v>14</v>
      </c>
      <c r="S18" s="101">
        <v>100000</v>
      </c>
      <c r="T18" s="102">
        <v>0</v>
      </c>
      <c r="U18" s="80">
        <v>0</v>
      </c>
      <c r="V18" s="56">
        <v>8.6</v>
      </c>
      <c r="W18" s="79">
        <v>8600</v>
      </c>
      <c r="X18" s="80">
        <v>0</v>
      </c>
      <c r="Y18" s="81">
        <v>0</v>
      </c>
    </row>
    <row r="19" spans="1:27" x14ac:dyDescent="0.3">
      <c r="B19" s="71" t="s">
        <v>62</v>
      </c>
      <c r="C19" s="52">
        <v>20173011658</v>
      </c>
      <c r="D19" s="51" t="s">
        <v>63</v>
      </c>
      <c r="E19" s="53">
        <v>42917</v>
      </c>
      <c r="F19" s="53">
        <v>43281</v>
      </c>
      <c r="G19" s="97">
        <v>20180000587752</v>
      </c>
      <c r="H19" s="54">
        <v>43116</v>
      </c>
      <c r="I19" s="54">
        <v>43125</v>
      </c>
      <c r="J19" s="51" t="s">
        <v>64</v>
      </c>
      <c r="K19" s="51" t="s">
        <v>65</v>
      </c>
      <c r="L19" s="54">
        <v>45141</v>
      </c>
      <c r="M19" s="52">
        <v>3</v>
      </c>
      <c r="N19" s="52">
        <v>1</v>
      </c>
      <c r="O19" s="52">
        <v>1</v>
      </c>
      <c r="P19" s="52" t="s">
        <v>66</v>
      </c>
      <c r="Q19" s="52" t="s">
        <v>14</v>
      </c>
      <c r="R19" s="55" t="s">
        <v>14</v>
      </c>
      <c r="S19" s="101">
        <v>12300000</v>
      </c>
      <c r="T19" s="102">
        <v>0</v>
      </c>
      <c r="U19" s="80">
        <v>1000000</v>
      </c>
      <c r="V19" s="56">
        <v>70</v>
      </c>
      <c r="W19" s="79">
        <v>8610000</v>
      </c>
      <c r="X19" s="80">
        <v>0</v>
      </c>
      <c r="Y19" s="81">
        <v>700000</v>
      </c>
    </row>
    <row r="20" spans="1:27" x14ac:dyDescent="0.3">
      <c r="B20" s="71"/>
      <c r="C20" s="52">
        <v>20181329270</v>
      </c>
      <c r="D20" s="51" t="s">
        <v>67</v>
      </c>
      <c r="E20" s="53">
        <v>43184</v>
      </c>
      <c r="F20" s="53">
        <v>43548</v>
      </c>
      <c r="G20" s="97">
        <v>20190711023391</v>
      </c>
      <c r="H20" s="54">
        <v>43366</v>
      </c>
      <c r="I20" s="54">
        <v>43545</v>
      </c>
      <c r="J20" s="51" t="s">
        <v>68</v>
      </c>
      <c r="K20" s="51" t="s">
        <v>69</v>
      </c>
      <c r="L20" s="54">
        <v>45744</v>
      </c>
      <c r="M20" s="52">
        <v>19</v>
      </c>
      <c r="N20" s="52">
        <v>1</v>
      </c>
      <c r="O20" s="52">
        <v>1</v>
      </c>
      <c r="P20" s="52" t="s">
        <v>66</v>
      </c>
      <c r="Q20" s="52" t="s">
        <v>14</v>
      </c>
      <c r="R20" s="55" t="s">
        <v>14</v>
      </c>
      <c r="S20" s="101">
        <v>1000001</v>
      </c>
      <c r="T20" s="102">
        <v>0</v>
      </c>
      <c r="U20" s="80">
        <v>42300</v>
      </c>
      <c r="V20" s="56">
        <v>21</v>
      </c>
      <c r="W20" s="79">
        <v>210000</v>
      </c>
      <c r="X20" s="80">
        <v>0</v>
      </c>
      <c r="Y20" s="81">
        <v>8883</v>
      </c>
    </row>
    <row r="21" spans="1:27" x14ac:dyDescent="0.3">
      <c r="B21" s="71"/>
      <c r="C21" s="52">
        <v>20193716051</v>
      </c>
      <c r="D21" s="51" t="s">
        <v>70</v>
      </c>
      <c r="E21" s="53">
        <v>43672</v>
      </c>
      <c r="F21" s="53">
        <v>44037</v>
      </c>
      <c r="G21" s="97">
        <v>20191119015633</v>
      </c>
      <c r="H21" s="54">
        <v>43452</v>
      </c>
      <c r="I21" s="54">
        <v>43788</v>
      </c>
      <c r="J21" s="51" t="s">
        <v>71</v>
      </c>
      <c r="K21" s="51" t="s">
        <v>72</v>
      </c>
      <c r="L21" s="54">
        <v>43788</v>
      </c>
      <c r="M21" s="52">
        <v>0</v>
      </c>
      <c r="N21" s="52">
        <v>1</v>
      </c>
      <c r="O21" s="52">
        <v>1</v>
      </c>
      <c r="P21" s="52" t="s">
        <v>66</v>
      </c>
      <c r="Q21" s="52" t="s">
        <v>14</v>
      </c>
      <c r="R21" s="55" t="s">
        <v>14</v>
      </c>
      <c r="S21" s="101">
        <v>4000000</v>
      </c>
      <c r="T21" s="102">
        <v>0</v>
      </c>
      <c r="U21" s="80">
        <v>1000000</v>
      </c>
      <c r="V21" s="56">
        <v>30</v>
      </c>
      <c r="W21" s="79">
        <v>1200000</v>
      </c>
      <c r="X21" s="80">
        <v>0</v>
      </c>
      <c r="Y21" s="81">
        <v>300000</v>
      </c>
    </row>
    <row r="22" spans="1:27" x14ac:dyDescent="0.3">
      <c r="B22" s="71" t="s">
        <v>73</v>
      </c>
      <c r="C22" s="52">
        <v>20183179109</v>
      </c>
      <c r="D22" s="51" t="s">
        <v>74</v>
      </c>
      <c r="E22" s="53">
        <v>43160</v>
      </c>
      <c r="F22" s="53">
        <v>45046</v>
      </c>
      <c r="G22" s="97">
        <v>20221116033267</v>
      </c>
      <c r="H22" s="54">
        <v>44827</v>
      </c>
      <c r="I22" s="54" t="s">
        <v>48</v>
      </c>
      <c r="J22" s="51" t="s">
        <v>75</v>
      </c>
      <c r="K22" s="51" t="s">
        <v>60</v>
      </c>
      <c r="L22" s="54">
        <v>44881</v>
      </c>
      <c r="M22" s="52">
        <v>0</v>
      </c>
      <c r="N22" s="52">
        <v>1</v>
      </c>
      <c r="O22" s="52">
        <v>1</v>
      </c>
      <c r="P22" s="52" t="s">
        <v>76</v>
      </c>
      <c r="Q22" s="52" t="s">
        <v>14</v>
      </c>
      <c r="R22" s="55" t="s">
        <v>14</v>
      </c>
      <c r="S22" s="101">
        <v>150000000</v>
      </c>
      <c r="T22" s="102">
        <v>0</v>
      </c>
      <c r="U22" s="80">
        <v>0</v>
      </c>
      <c r="V22" s="56">
        <v>1.5</v>
      </c>
      <c r="W22" s="79">
        <v>2250000</v>
      </c>
      <c r="X22" s="80">
        <v>0</v>
      </c>
      <c r="Y22" s="81">
        <v>0</v>
      </c>
    </row>
    <row r="23" spans="1:27" x14ac:dyDescent="0.3">
      <c r="B23" s="71"/>
      <c r="C23" s="52">
        <v>20183179109</v>
      </c>
      <c r="D23" s="51" t="s">
        <v>74</v>
      </c>
      <c r="E23" s="53">
        <v>43160</v>
      </c>
      <c r="F23" s="53">
        <v>45061</v>
      </c>
      <c r="G23" s="97">
        <v>20240628025654</v>
      </c>
      <c r="H23" s="54">
        <v>44957</v>
      </c>
      <c r="I23" s="54" t="s">
        <v>48</v>
      </c>
      <c r="J23" s="51" t="s">
        <v>92</v>
      </c>
      <c r="K23" s="51" t="s">
        <v>93</v>
      </c>
      <c r="L23" s="54">
        <v>45471</v>
      </c>
      <c r="M23" s="52">
        <v>0</v>
      </c>
      <c r="N23" s="52">
        <v>1</v>
      </c>
      <c r="O23" s="52">
        <v>1</v>
      </c>
      <c r="P23" s="52" t="s">
        <v>94</v>
      </c>
      <c r="Q23" s="52" t="s">
        <v>14</v>
      </c>
      <c r="R23" s="55" t="s">
        <v>14</v>
      </c>
      <c r="S23" s="101">
        <v>6100000000.000001</v>
      </c>
      <c r="T23" s="102">
        <v>0</v>
      </c>
      <c r="U23" s="80">
        <v>150000000</v>
      </c>
      <c r="V23" s="56">
        <v>1.5</v>
      </c>
      <c r="W23" s="79">
        <v>91500000</v>
      </c>
      <c r="X23" s="80">
        <v>0</v>
      </c>
      <c r="Y23" s="81">
        <v>2250000</v>
      </c>
    </row>
    <row r="24" spans="1:27" x14ac:dyDescent="0.3">
      <c r="B24" s="71" t="s">
        <v>77</v>
      </c>
      <c r="C24" s="52">
        <v>20164883984</v>
      </c>
      <c r="D24" s="51" t="s">
        <v>78</v>
      </c>
      <c r="E24" s="53">
        <v>42673</v>
      </c>
      <c r="F24" s="53">
        <v>43100</v>
      </c>
      <c r="G24" s="97">
        <v>20180000546510</v>
      </c>
      <c r="H24" s="54">
        <v>43054</v>
      </c>
      <c r="I24" s="54" t="s">
        <v>48</v>
      </c>
      <c r="J24" s="51" t="s">
        <v>79</v>
      </c>
      <c r="K24" s="51" t="s">
        <v>80</v>
      </c>
      <c r="L24" s="54">
        <v>45330</v>
      </c>
      <c r="M24" s="52">
        <v>6</v>
      </c>
      <c r="N24" s="52">
        <v>3</v>
      </c>
      <c r="O24" s="52">
        <v>1</v>
      </c>
      <c r="P24" s="52" t="s">
        <v>81</v>
      </c>
      <c r="Q24" s="52" t="s">
        <v>14</v>
      </c>
      <c r="R24" s="55" t="s">
        <v>14</v>
      </c>
      <c r="S24" s="101">
        <v>1</v>
      </c>
      <c r="T24" s="102">
        <v>0</v>
      </c>
      <c r="U24" s="80">
        <v>0</v>
      </c>
      <c r="V24" s="56">
        <v>7.5</v>
      </c>
      <c r="W24" s="79">
        <v>0</v>
      </c>
      <c r="X24" s="80">
        <v>0</v>
      </c>
      <c r="Y24" s="81">
        <v>0</v>
      </c>
    </row>
    <row r="25" spans="1:27" x14ac:dyDescent="0.3">
      <c r="B25" s="71" t="s">
        <v>82</v>
      </c>
      <c r="C25" s="52">
        <v>20181573574</v>
      </c>
      <c r="D25" s="51" t="s">
        <v>83</v>
      </c>
      <c r="E25" s="53">
        <v>43191</v>
      </c>
      <c r="F25" s="53">
        <v>43555</v>
      </c>
      <c r="G25" s="97">
        <v>20180004587312</v>
      </c>
      <c r="H25" s="54">
        <v>42489</v>
      </c>
      <c r="I25" s="54">
        <v>43192</v>
      </c>
      <c r="J25" s="51" t="s">
        <v>84</v>
      </c>
      <c r="K25" s="51" t="s">
        <v>85</v>
      </c>
      <c r="L25" s="54">
        <v>45216</v>
      </c>
      <c r="M25" s="52">
        <v>7</v>
      </c>
      <c r="N25" s="52">
        <v>1</v>
      </c>
      <c r="O25" s="52">
        <v>1</v>
      </c>
      <c r="P25" s="52" t="s">
        <v>86</v>
      </c>
      <c r="Q25" s="52" t="s">
        <v>14</v>
      </c>
      <c r="R25" s="55" t="s">
        <v>14</v>
      </c>
      <c r="S25" s="101">
        <v>197000000</v>
      </c>
      <c r="T25" s="102">
        <v>0</v>
      </c>
      <c r="U25" s="80">
        <v>3450000</v>
      </c>
      <c r="V25" s="56">
        <v>4</v>
      </c>
      <c r="W25" s="79">
        <v>7880000</v>
      </c>
      <c r="X25" s="80">
        <v>0</v>
      </c>
      <c r="Y25" s="81">
        <v>138000</v>
      </c>
    </row>
    <row r="26" spans="1:27" ht="15" thickBot="1" x14ac:dyDescent="0.35">
      <c r="B26" s="71" t="s">
        <v>87</v>
      </c>
      <c r="C26" s="52">
        <v>20143779004</v>
      </c>
      <c r="D26" s="51" t="s">
        <v>88</v>
      </c>
      <c r="E26" s="53">
        <v>41883</v>
      </c>
      <c r="F26" s="53">
        <v>42247</v>
      </c>
      <c r="G26" s="97">
        <v>20201021024610</v>
      </c>
      <c r="H26" s="54">
        <v>42199</v>
      </c>
      <c r="I26" s="54" t="s">
        <v>48</v>
      </c>
      <c r="J26" s="51" t="s">
        <v>89</v>
      </c>
      <c r="K26" s="51" t="s">
        <v>90</v>
      </c>
      <c r="L26" s="54">
        <v>44833</v>
      </c>
      <c r="M26" s="52">
        <v>14</v>
      </c>
      <c r="N26" s="52">
        <v>1</v>
      </c>
      <c r="O26" s="52">
        <v>1</v>
      </c>
      <c r="P26" s="52" t="s">
        <v>91</v>
      </c>
      <c r="Q26" s="52" t="s">
        <v>14</v>
      </c>
      <c r="R26" s="55" t="s">
        <v>14</v>
      </c>
      <c r="S26" s="101">
        <v>20000000</v>
      </c>
      <c r="T26" s="102">
        <v>382198</v>
      </c>
      <c r="U26" s="80">
        <v>820000</v>
      </c>
      <c r="V26" s="56">
        <v>25</v>
      </c>
      <c r="W26" s="79">
        <v>5000000</v>
      </c>
      <c r="X26" s="80">
        <v>95550</v>
      </c>
      <c r="Y26" s="81">
        <v>205000</v>
      </c>
    </row>
    <row r="27" spans="1:27" ht="15" x14ac:dyDescent="0.3">
      <c r="A27" s="17" t="s">
        <v>11</v>
      </c>
      <c r="B27" s="37"/>
      <c r="C27" s="38"/>
      <c r="D27" s="38"/>
      <c r="E27" s="38"/>
      <c r="F27" s="38"/>
      <c r="G27" s="98"/>
      <c r="H27" s="38"/>
      <c r="I27" s="38"/>
      <c r="J27" s="38"/>
      <c r="K27" s="38"/>
      <c r="L27" s="66"/>
      <c r="M27" s="38"/>
      <c r="N27" s="38"/>
      <c r="O27" s="38"/>
      <c r="P27" s="38"/>
      <c r="Q27" s="31" t="s">
        <v>39</v>
      </c>
      <c r="R27" s="32" t="s">
        <v>14</v>
      </c>
      <c r="S27" s="82">
        <f>SUMIF($Q$13:$Q26,$R27,S$13:S26)</f>
        <v>8205940004.000001</v>
      </c>
      <c r="T27" s="83">
        <f>SUMIF($Q$13:$Q26,$R27,T$13:T26)</f>
        <v>382198</v>
      </c>
      <c r="U27" s="83">
        <f>SUMIF($R$13:$R26,$R27,U$13:U26)</f>
        <v>220282300</v>
      </c>
      <c r="V27" s="40"/>
      <c r="W27" s="82">
        <f>SUMIF($Q$13:$Q26,$R27,W$13:W26)</f>
        <v>288812600</v>
      </c>
      <c r="X27" s="83">
        <f>SUMIF($Q$13:$Q26,$R27,X$13:X26)</f>
        <v>95550</v>
      </c>
      <c r="Y27" s="84">
        <f>SUMIF($R$13:$R26,$R27,Y$13:Y26)</f>
        <v>9173883</v>
      </c>
      <c r="Z27" s="17"/>
      <c r="AA27" s="17"/>
    </row>
    <row r="28" spans="1:27" ht="15" x14ac:dyDescent="0.3">
      <c r="B28" s="47"/>
      <c r="C28" s="18"/>
      <c r="D28" s="18"/>
      <c r="E28" s="18"/>
      <c r="F28" s="18"/>
      <c r="G28" s="99"/>
      <c r="H28" s="18"/>
      <c r="I28" s="18"/>
      <c r="J28" s="18"/>
      <c r="K28" s="18"/>
      <c r="L28" s="67"/>
      <c r="M28" s="18"/>
      <c r="N28" s="18"/>
      <c r="O28" s="18"/>
      <c r="P28" s="18"/>
      <c r="Q28" s="50" t="s">
        <v>39</v>
      </c>
      <c r="R28" s="48" t="s">
        <v>10</v>
      </c>
      <c r="S28" s="57">
        <f>SUMIF($Q$13:$Q26,$R28,S$13:S26)</f>
        <v>0</v>
      </c>
      <c r="T28" s="58">
        <f>SUMIF($Q$13:$Q26,$R28,T$13:T26)</f>
        <v>0</v>
      </c>
      <c r="U28" s="58">
        <f>SUMIF($R$13:$R26,$R28,U$13:U26)</f>
        <v>0</v>
      </c>
      <c r="V28" s="49"/>
      <c r="W28" s="57">
        <f>SUMIF($Q$13:$Q26,$R28,W$13:W26)</f>
        <v>0</v>
      </c>
      <c r="X28" s="58">
        <f>SUMIF($Q$13:$Q26,$R28,X$13:X26)</f>
        <v>0</v>
      </c>
      <c r="Y28" s="59">
        <f>SUMIF($R$13:$R26,$R28,Y$13:Y26)</f>
        <v>0</v>
      </c>
      <c r="Z28" s="17"/>
      <c r="AA28" s="17"/>
    </row>
    <row r="29" spans="1:27" ht="15" x14ac:dyDescent="0.3">
      <c r="B29" s="47"/>
      <c r="C29" s="18"/>
      <c r="D29" s="18"/>
      <c r="E29" s="18"/>
      <c r="F29" s="18"/>
      <c r="G29" s="99"/>
      <c r="H29" s="18"/>
      <c r="I29" s="18"/>
      <c r="J29" s="18"/>
      <c r="K29" s="18"/>
      <c r="L29" s="67"/>
      <c r="M29" s="18"/>
      <c r="N29" s="18"/>
      <c r="O29" s="18"/>
      <c r="P29" s="18"/>
      <c r="Q29" s="50" t="s">
        <v>39</v>
      </c>
      <c r="R29" s="48" t="s">
        <v>15</v>
      </c>
      <c r="S29" s="57">
        <f>SUMIF($Q$13:$Q26,$R29,S$13:S26)</f>
        <v>0</v>
      </c>
      <c r="T29" s="58">
        <f>SUMIF($Q$13:$Q26,$R29,T$13:T26)</f>
        <v>0</v>
      </c>
      <c r="U29" s="58">
        <f>SUMIF($R$13:$R26,$R29,U$13:U26)</f>
        <v>0</v>
      </c>
      <c r="V29" s="49"/>
      <c r="W29" s="57">
        <f>SUMIF($Q$13:$Q26,$R29,W$13:W26)</f>
        <v>0</v>
      </c>
      <c r="X29" s="58">
        <f>SUMIF($Q$13:$Q26,$R29,X$13:X26)</f>
        <v>0</v>
      </c>
      <c r="Y29" s="59">
        <f>SUMIF($R$13:$R26,$R29,Y$13:Y26)</f>
        <v>0</v>
      </c>
      <c r="Z29" s="17"/>
      <c r="AA29" s="17"/>
    </row>
    <row r="30" spans="1:27" ht="15" x14ac:dyDescent="0.3">
      <c r="B30" s="47"/>
      <c r="C30" s="18"/>
      <c r="D30" s="18"/>
      <c r="E30" s="18"/>
      <c r="F30" s="18"/>
      <c r="G30" s="99"/>
      <c r="H30" s="18"/>
      <c r="I30" s="18"/>
      <c r="J30" s="18"/>
      <c r="K30" s="18"/>
      <c r="L30" s="67"/>
      <c r="M30" s="18"/>
      <c r="N30" s="18"/>
      <c r="O30" s="18"/>
      <c r="P30" s="18"/>
      <c r="Q30" s="50" t="s">
        <v>39</v>
      </c>
      <c r="R30" s="48" t="s">
        <v>9</v>
      </c>
      <c r="S30" s="57">
        <f>SUMIF($Q$13:$Q26,$R30,S$13:S26)</f>
        <v>0</v>
      </c>
      <c r="T30" s="58">
        <f>SUMIF($Q$13:$Q26,$R30,T$13:T26)</f>
        <v>0</v>
      </c>
      <c r="U30" s="58">
        <f>SUMIF($R$13:$R26,$R30,U$13:U26)</f>
        <v>0</v>
      </c>
      <c r="V30" s="49"/>
      <c r="W30" s="57">
        <f>SUMIF($Q$13:$Q26,$R30,W$13:W26)</f>
        <v>0</v>
      </c>
      <c r="X30" s="58">
        <f>SUMIF($Q$13:$Q26,$R30,X$13:X26)</f>
        <v>0</v>
      </c>
      <c r="Y30" s="59">
        <f>SUMIF($R$13:$R29,$R30,Y$13:Y29)</f>
        <v>0</v>
      </c>
      <c r="Z30" s="17"/>
      <c r="AA30" s="17"/>
    </row>
    <row r="31" spans="1:27" ht="15" x14ac:dyDescent="0.3">
      <c r="B31" s="47"/>
      <c r="C31" s="18"/>
      <c r="D31" s="18"/>
      <c r="E31" s="18"/>
      <c r="F31" s="18"/>
      <c r="G31" s="99"/>
      <c r="H31" s="18"/>
      <c r="I31" s="18"/>
      <c r="J31" s="18"/>
      <c r="K31" s="18"/>
      <c r="L31" s="67"/>
      <c r="M31" s="18"/>
      <c r="N31" s="18"/>
      <c r="O31" s="18"/>
      <c r="P31" s="18"/>
      <c r="Q31" s="50" t="s">
        <v>39</v>
      </c>
      <c r="R31" s="48" t="s">
        <v>13</v>
      </c>
      <c r="S31" s="57">
        <f>SUMIF($Q$13:$Q26,$R31,S$13:S26)</f>
        <v>0</v>
      </c>
      <c r="T31" s="58">
        <f>SUMIF($Q$13:$Q26,$R31,T$13:T26)</f>
        <v>0</v>
      </c>
      <c r="U31" s="58">
        <f>SUMIF($R$13:$R26,$R31,U$13:U26)</f>
        <v>0</v>
      </c>
      <c r="V31" s="49"/>
      <c r="W31" s="57">
        <f>SUMIF($Q$13:$Q26,$R31,W$13:W26)</f>
        <v>0</v>
      </c>
      <c r="X31" s="58">
        <f>SUMIF($Q$13:$Q26,$R31,X$13:X26)</f>
        <v>0</v>
      </c>
      <c r="Y31" s="59">
        <f>SUMIF($R$13:$R26,$R31,Y$13:Y26)</f>
        <v>0</v>
      </c>
      <c r="Z31" s="17"/>
      <c r="AA31" s="17"/>
    </row>
    <row r="32" spans="1:27" ht="15" x14ac:dyDescent="0.3">
      <c r="B32" s="47"/>
      <c r="C32" s="18"/>
      <c r="D32" s="18"/>
      <c r="E32" s="18"/>
      <c r="F32" s="18"/>
      <c r="G32" s="99"/>
      <c r="H32" s="18"/>
      <c r="I32" s="18"/>
      <c r="J32" s="18"/>
      <c r="K32" s="18"/>
      <c r="L32" s="67"/>
      <c r="M32" s="18"/>
      <c r="N32" s="18"/>
      <c r="O32" s="18"/>
      <c r="P32" s="18"/>
      <c r="Q32" s="50" t="s">
        <v>39</v>
      </c>
      <c r="R32" s="48" t="s">
        <v>12</v>
      </c>
      <c r="S32" s="57">
        <f>SUMIF($Q$13:$Q26,$R32,S$13:S26)</f>
        <v>0</v>
      </c>
      <c r="T32" s="58">
        <f>SUMIF($Q$13:$Q26,$R32,T$13:T26)</f>
        <v>0</v>
      </c>
      <c r="U32" s="58">
        <f>SUMIF($R$13:$R26,$R32,U$13:U26)</f>
        <v>0</v>
      </c>
      <c r="V32" s="49"/>
      <c r="W32" s="57">
        <f>SUMIF($Q$13:$Q26,$R32,W$13:W26)</f>
        <v>0</v>
      </c>
      <c r="X32" s="58">
        <f>SUMIF($Q$13:$Q26,$R32,X$13:X26)</f>
        <v>0</v>
      </c>
      <c r="Y32" s="59">
        <f>SUMIF($R$13:$R26,$R32,Y$13:Y26)</f>
        <v>0</v>
      </c>
      <c r="Z32" s="17"/>
      <c r="AA32" s="17"/>
    </row>
    <row r="33" spans="2:27" ht="15" x14ac:dyDescent="0.3">
      <c r="B33" s="43"/>
      <c r="C33" s="44"/>
      <c r="D33" s="44"/>
      <c r="E33" s="44"/>
      <c r="F33" s="44"/>
      <c r="G33" s="100"/>
      <c r="H33" s="44"/>
      <c r="I33" s="44"/>
      <c r="J33" s="44"/>
      <c r="K33" s="44"/>
      <c r="L33" s="68"/>
      <c r="M33" s="44"/>
      <c r="N33" s="44"/>
      <c r="O33" s="44"/>
      <c r="P33" s="44"/>
      <c r="Q33" s="45" t="s">
        <v>39</v>
      </c>
      <c r="R33" s="46" t="s">
        <v>16</v>
      </c>
      <c r="S33" s="60">
        <f>SUMIF($Q$13:$Q26,$R33,S$13:S26)</f>
        <v>0</v>
      </c>
      <c r="T33" s="61">
        <f>SUMIF($Q$13:$Q26,$R33,T$13:T26)</f>
        <v>0</v>
      </c>
      <c r="U33" s="61">
        <f>SUMIF($R$13:$R26,$R33,U$13:U26)</f>
        <v>0</v>
      </c>
      <c r="V33" s="39"/>
      <c r="W33" s="60">
        <f>SUMIF($Q$13:$Q26,$R33,W$13:W26)</f>
        <v>0</v>
      </c>
      <c r="X33" s="61">
        <f>SUMIF($Q$13:$Q26,$R33,X$13:X26)</f>
        <v>0</v>
      </c>
      <c r="Y33" s="62">
        <f>SUMIF($R$13:$R26,$R33,Y$13:Y26)</f>
        <v>0</v>
      </c>
      <c r="Z33" s="17"/>
      <c r="AA33" s="17"/>
    </row>
    <row r="34" spans="2:27" ht="32.25" customHeight="1" x14ac:dyDescent="0.3">
      <c r="B34" s="13"/>
      <c r="C34" s="8"/>
      <c r="E34" s="12"/>
      <c r="F34" s="12"/>
      <c r="G34" s="13"/>
      <c r="H34" s="12"/>
      <c r="I34" s="12"/>
      <c r="J34" s="12"/>
      <c r="K34" s="12"/>
      <c r="M34" s="17"/>
      <c r="N34" s="17"/>
      <c r="O34" s="17"/>
      <c r="P34" s="17"/>
      <c r="Q34" s="17"/>
      <c r="R34" s="17"/>
      <c r="S34" s="74"/>
      <c r="T34" s="75"/>
      <c r="U34" s="85"/>
      <c r="V34" s="17"/>
      <c r="W34" s="75"/>
      <c r="X34" s="75"/>
      <c r="Y34" s="75"/>
      <c r="Z34" s="17"/>
      <c r="AA34" s="17"/>
    </row>
    <row r="35" spans="2:27" x14ac:dyDescent="0.3">
      <c r="B35" s="19"/>
      <c r="C35" s="14"/>
      <c r="E35" s="20"/>
      <c r="F35" s="20"/>
      <c r="G35" s="95"/>
      <c r="H35" s="21"/>
      <c r="I35" s="21"/>
      <c r="J35" s="21"/>
      <c r="K35" s="21"/>
      <c r="M35" s="21"/>
      <c r="N35" s="21"/>
      <c r="O35" s="21"/>
      <c r="P35" s="21"/>
      <c r="Q35" s="22"/>
      <c r="R35" s="22"/>
      <c r="S35" s="89"/>
      <c r="T35" s="89"/>
      <c r="U35" s="85"/>
      <c r="V35" s="15"/>
      <c r="W35" s="85"/>
      <c r="X35" s="85"/>
      <c r="Y35" s="85"/>
      <c r="Z35" s="15"/>
      <c r="AA35" s="17"/>
    </row>
    <row r="36" spans="2:27" ht="15" x14ac:dyDescent="0.3">
      <c r="B36" s="23"/>
      <c r="C36" s="14"/>
      <c r="E36" s="11"/>
      <c r="F36" s="11"/>
      <c r="G36" s="96"/>
      <c r="H36" s="11"/>
      <c r="I36" s="11"/>
      <c r="J36" s="11"/>
      <c r="K36" s="11"/>
      <c r="M36" s="11"/>
      <c r="N36" s="11"/>
      <c r="O36" s="11"/>
      <c r="P36" s="11"/>
      <c r="Q36" s="15"/>
      <c r="R36" s="15"/>
      <c r="S36" s="85"/>
      <c r="T36" s="85"/>
      <c r="U36" s="85"/>
      <c r="V36" s="15"/>
      <c r="W36" s="85"/>
      <c r="X36" s="85"/>
      <c r="Y36" s="85"/>
      <c r="Z36" s="16"/>
      <c r="AA36" s="17"/>
    </row>
    <row r="37" spans="2:27" x14ac:dyDescent="0.3">
      <c r="B37" s="19"/>
      <c r="C37" s="14"/>
      <c r="E37" s="11"/>
      <c r="F37" s="11"/>
      <c r="G37" s="96"/>
      <c r="H37" s="11"/>
      <c r="I37" s="11"/>
      <c r="J37" s="11"/>
      <c r="K37" s="11"/>
      <c r="L37" s="69"/>
      <c r="M37" s="11"/>
      <c r="N37" s="11"/>
      <c r="O37" s="11"/>
      <c r="P37" s="11"/>
      <c r="Q37" s="15"/>
      <c r="R37" s="15"/>
      <c r="S37" s="85"/>
      <c r="T37" s="85"/>
      <c r="U37" s="85"/>
      <c r="V37" s="15"/>
      <c r="W37" s="85"/>
      <c r="X37" s="85"/>
      <c r="Y37" s="85"/>
      <c r="Z37" s="16"/>
      <c r="AA37" s="17"/>
    </row>
    <row r="38" spans="2:27" x14ac:dyDescent="0.3">
      <c r="B38" s="24"/>
      <c r="C38" s="14"/>
      <c r="E38" s="11"/>
      <c r="F38" s="11"/>
      <c r="G38" s="96"/>
      <c r="H38" s="11"/>
      <c r="I38" s="11"/>
      <c r="J38" s="11"/>
      <c r="K38" s="11"/>
      <c r="L38" s="70"/>
      <c r="M38" s="11"/>
      <c r="N38" s="11"/>
      <c r="O38" s="11"/>
      <c r="P38" s="11"/>
      <c r="Q38" s="15"/>
      <c r="R38" s="15"/>
      <c r="S38" s="85"/>
      <c r="T38" s="85"/>
      <c r="U38" s="85"/>
      <c r="V38" s="15"/>
      <c r="W38" s="85"/>
      <c r="X38" s="85"/>
      <c r="Y38" s="86"/>
      <c r="Z38" s="25"/>
      <c r="AA38" s="17"/>
    </row>
    <row r="39" spans="2:27" x14ac:dyDescent="0.3">
      <c r="B39" s="19"/>
      <c r="C39" s="14"/>
      <c r="E39" s="11"/>
      <c r="F39" s="11"/>
      <c r="G39" s="96"/>
      <c r="H39" s="11"/>
      <c r="I39" s="11"/>
      <c r="J39" s="11"/>
      <c r="K39" s="11"/>
      <c r="L39" s="70"/>
      <c r="M39" s="26"/>
      <c r="N39" s="26"/>
      <c r="O39" s="26"/>
      <c r="P39" s="26"/>
      <c r="Q39" s="4"/>
      <c r="R39" s="4"/>
      <c r="S39" s="74"/>
      <c r="U39" s="86"/>
      <c r="V39" s="15"/>
      <c r="W39" s="86"/>
      <c r="X39" s="86"/>
      <c r="Y39" s="86"/>
      <c r="Z39" s="27"/>
      <c r="AA39" s="17"/>
    </row>
    <row r="40" spans="2:27" ht="15" x14ac:dyDescent="0.3">
      <c r="B40" s="23"/>
      <c r="C40" s="14"/>
      <c r="E40" s="11"/>
      <c r="F40" s="11"/>
      <c r="G40" s="96"/>
      <c r="H40" s="11"/>
      <c r="I40" s="11"/>
      <c r="J40" s="11"/>
      <c r="K40" s="11"/>
      <c r="L40" s="70"/>
      <c r="M40" s="26"/>
      <c r="N40" s="26"/>
      <c r="O40" s="26"/>
      <c r="P40" s="26"/>
      <c r="Q40" s="4"/>
      <c r="R40" s="4"/>
      <c r="S40" s="74"/>
      <c r="U40" s="85"/>
      <c r="V40" s="25"/>
      <c r="W40" s="86"/>
      <c r="X40" s="75"/>
      <c r="Y40" s="87" t="s">
        <v>8</v>
      </c>
      <c r="Z40" s="27"/>
      <c r="AA40" s="17"/>
    </row>
    <row r="41" spans="2:27" x14ac:dyDescent="0.3">
      <c r="B41" s="19"/>
      <c r="C41" s="14"/>
      <c r="E41" s="11"/>
      <c r="F41" s="11"/>
      <c r="G41" s="96"/>
      <c r="H41" s="11"/>
      <c r="I41" s="11"/>
      <c r="J41" s="11"/>
      <c r="K41" s="11"/>
      <c r="L41" s="70"/>
      <c r="M41" s="11"/>
      <c r="N41" s="11"/>
      <c r="O41" s="11"/>
      <c r="P41" s="11"/>
      <c r="Q41" s="15"/>
      <c r="R41" s="15"/>
      <c r="S41" s="85"/>
      <c r="T41" s="85"/>
      <c r="U41" s="85"/>
      <c r="V41" s="15"/>
      <c r="W41" s="85"/>
      <c r="X41" s="75"/>
      <c r="Y41" s="87" t="s">
        <v>7</v>
      </c>
      <c r="Z41" s="16"/>
      <c r="AA41" s="17"/>
    </row>
    <row r="42" spans="2:27" x14ac:dyDescent="0.3">
      <c r="B42" s="24"/>
      <c r="C42" s="14"/>
      <c r="E42" s="11"/>
      <c r="F42" s="11"/>
      <c r="G42" s="96"/>
      <c r="H42" s="11"/>
      <c r="I42" s="11"/>
      <c r="J42" s="11"/>
      <c r="K42" s="11"/>
      <c r="L42" s="70"/>
      <c r="M42" s="11"/>
      <c r="N42" s="11"/>
      <c r="O42" s="11"/>
      <c r="P42" s="11"/>
      <c r="Q42" s="15"/>
      <c r="R42" s="15"/>
      <c r="S42" s="85"/>
      <c r="T42" s="85"/>
      <c r="U42" s="85"/>
      <c r="V42" s="15"/>
      <c r="W42" s="85"/>
      <c r="X42" s="85"/>
      <c r="Y42" s="85"/>
      <c r="Z42" s="16"/>
      <c r="AA42" s="17"/>
    </row>
    <row r="43" spans="2:27" s="4" customFormat="1" x14ac:dyDescent="0.3">
      <c r="B43" s="24"/>
      <c r="C43" s="17"/>
      <c r="D43" s="17"/>
      <c r="E43" s="17"/>
      <c r="F43" s="17"/>
      <c r="G43" s="24"/>
      <c r="H43" s="17"/>
      <c r="I43" s="17"/>
      <c r="J43" s="17"/>
      <c r="K43" s="17"/>
      <c r="L43" s="69"/>
      <c r="M43" s="17"/>
      <c r="N43" s="17"/>
      <c r="O43" s="17"/>
      <c r="P43" s="17"/>
      <c r="S43" s="74"/>
      <c r="T43" s="74"/>
      <c r="U43" s="85"/>
      <c r="V43" s="15"/>
      <c r="W43" s="85"/>
      <c r="X43" s="85"/>
      <c r="Y43" s="74"/>
      <c r="AA43" s="17"/>
    </row>
    <row r="44" spans="2:27" x14ac:dyDescent="0.3">
      <c r="S44" s="74"/>
      <c r="AA44" s="17"/>
    </row>
  </sheetData>
  <autoFilter ref="B12:Y33"/>
  <phoneticPr fontId="11" type="noConversion"/>
  <pageMargins left="0.31486111879348755" right="0.31486111879348755" top="0.35430556535720825" bottom="0.35430556535720825" header="0.31486111879348755" footer="0.31486111879348755"/>
  <pageSetup paperSize="9" scale="43" orientation="landscape" horizontalDpi="4294967295" verticalDpi="4294967295" r:id="rId1"/>
  <headerFooter>
    <oddFooter>&amp;R&amp;"맑은 고딕,Regular"&amp;P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</dc:creator>
  <cp:lastModifiedBy>kbins</cp:lastModifiedBy>
  <cp:revision>1</cp:revision>
  <cp:lastPrinted>2021-07-22T06:20:48Z</cp:lastPrinted>
  <dcterms:created xsi:type="dcterms:W3CDTF">2015-09-20T23:40:45Z</dcterms:created>
  <dcterms:modified xsi:type="dcterms:W3CDTF">2026-03-23T07:11:14Z</dcterms:modified>
  <cp:version>1000.0100.01</cp:version>
</cp:coreProperties>
</file>